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worksheets/sheet3.xml" ContentType="application/vnd.openxmlformats-officedocument.spreadsheetml.worksheet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worksheets/sheet4.xml" ContentType="application/vnd.openxmlformats-officedocument.spreadsheetml.worksheet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e6660f6ac444bc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985c97be09047a9"/>
    <x:sheet xmlns:r="http://schemas.openxmlformats.org/officeDocument/2006/relationships" name="Purchase BOM" sheetId="2" r:id="Rd4272567bdf04f8c"/>
    <x:sheet xmlns:r="http://schemas.openxmlformats.org/officeDocument/2006/relationships" name="CNC Stock" sheetId="3" r:id="Rb2353ad2caa44c3b"/>
    <x:sheet xmlns:r="http://schemas.openxmlformats.org/officeDocument/2006/relationships" name="Wire Estimate" sheetId="4" r:id="R87f0e7cb1a7342bd"/>
    <x:sheet xmlns:r="http://schemas.openxmlformats.org/officeDocument/2006/relationships" name="Infusion Budget" sheetId="5" r:id="R4581be03a6bb418d"/>
    <x:sheet xmlns:r="http://schemas.openxmlformats.org/officeDocument/2006/relationships" name="Sources &amp; Gates" sheetId="6" r:id="Rbbf038b678df40ed"/>
  </x:sheets>
</x:workbook>
</file>

<file path=xl/comments1.xml><?xml version="1.0" encoding="utf-8"?>
<x:comments xmlns:x="http://schemas.openxmlformats.org/spreadsheetml/2006/main">
  <x:authors>
    <x:author>tc={88396C2E-C5A0-B4C1-F89D-5D92818F44EE}</x:author>
  </x:authors>
  <x:commentList>
    <x:comment ref="I5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User-provided price per NdFeB magnet. The Amazon ceramic/ferrite link is not used for this row.</x:t>
        </x:r>
      </x:text>
    </x:comment>
  </x:commentList>
</x:comments>
</file>

<file path=xl/comments2.xml><?xml version="1.0" encoding="utf-8"?>
<x:comments xmlns:x="http://schemas.openxmlformats.org/spreadsheetml/2006/main">
  <x:authors>
    <x:author>tc={011BD1C6-BDC0-0814-FD43-52F5E8E279C2}</x:author>
  </x:authors>
  <x:commentList>
    <x:comment ref="B5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Planning price only. Replace with the delivered small-cut 6061-T6 quote.</x:t>
        </x:r>
      </x:text>
    </x:comment>
  </x:commentList>
</x:comments>
</file>

<file path=xl/comments3.xml><?xml version="1.0" encoding="utf-8"?>
<x:comments xmlns:x="http://schemas.openxmlformats.org/spreadsheetml/2006/main">
  <x:authors>
    <x:author>tc={0E05874E-5281-78A1-8E50-9B12EEF6453B}</x:author>
  </x:authors>
  <x:commentList>
    <x:comment ref="B8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Required copper area is provisional until Kv, resistance, slot fill and current-density calculations are rerun on corrected CAD.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8">
    <x:numFmt numFmtId="200" formatCode="₹#,##0"/>
    <x:numFmt numFmtId="201" formatCode="0"/>
    <x:numFmt numFmtId="202" formatCode="#,##0.00"/>
    <x:numFmt numFmtId="203" formatCode="0%"/>
    <x:numFmt numFmtId="204" formatCode="0.000"/>
    <x:numFmt numFmtId="205" formatCode="0.00"/>
    <x:numFmt numFmtId="206" formatCode="0.0"/>
    <x:numFmt numFmtId="207" formatCode="0.0x"/>
  </x:numFmts>
  <x:fonts count="6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1"/>
      <x:color rgb="FF7F0000"/>
      <x:name val="Carlito"/>
    </x:font>
    <x:font>
      <x:i/>
      <x:sz val="11"/>
      <x:color rgb="FF17324D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2F75B5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EAF3F8"/>
      </x:patternFill>
    </x:fill>
    <x:fill>
      <x:patternFill patternType="solid">
        <x:fgColor rgb="FFF4CCCC"/>
      </x:patternFill>
    </x:fill>
    <x:fill>
      <x:patternFill patternType="solid">
        <x:fgColor rgb="FFD9EAF7"/>
      </x:patternFill>
    </x:fill>
  </x:fills>
  <x:borders count="20">
    <x:border/>
    <x:border>
      <x:left style="thin">
        <x:color rgb="FF9EADBA"/>
      </x:left>
      <x:top style="thin">
        <x:color rgb="FF9EADBA"/>
      </x:top>
      <x:bottom style="thin">
        <x:color rgb="FF9EADBA"/>
      </x:bottom>
    </x:border>
    <x:border>
      <x:right style="thin">
        <x:color rgb="FF9EADBA"/>
      </x:right>
      <x:top style="thin">
        <x:color rgb="FF9EADBA"/>
      </x:top>
      <x:bottom style="thin">
        <x:color rgb="FF9EADBA"/>
      </x:bottom>
    </x:border>
    <x:border>
      <x:right style="thin">
        <x:color rgb="FFD9E1E8"/>
      </x:right>
      <x:bottom style="thin">
        <x:color rgb="FFD9E1E8"/>
      </x:bottom>
    </x:border>
    <x:border>
      <x:left style="thin">
        <x:color rgb="FFD9E1E8"/>
      </x:left>
      <x:bottom style="thin">
        <x:color rgb="FFD9E1E8"/>
      </x:bottom>
    </x:border>
    <x:border>
      <x:right style="thin">
        <x:color rgb="FFD9E1E8"/>
      </x:right>
      <x:top style="thin">
        <x:color rgb="FFD9E1E8"/>
      </x:top>
      <x:bottom style="thin">
        <x:color rgb="FFD9E1E8"/>
      </x:bottom>
    </x:border>
    <x:border>
      <x:left style="thin">
        <x:color rgb="FFD9E1E8"/>
      </x:left>
      <x:top style="thin">
        <x:color rgb="FFD9E1E8"/>
      </x:top>
      <x:bottom style="thin">
        <x:color rgb="FFD9E1E8"/>
      </x:bottom>
    </x:border>
    <x:border>
      <x:right style="thin">
        <x:color rgb="FFD9E1E8"/>
      </x:right>
      <x:top style="thin">
        <x:color rgb="FFD9E1E8"/>
      </x:top>
    </x:border>
    <x:border>
      <x:left style="thin">
        <x:color rgb="FFD9E1E8"/>
      </x:left>
      <x:top style="thin">
        <x:color rgb="FFD9E1E8"/>
      </x:top>
    </x:border>
    <x:border>
      <x:top style="thin">
        <x:color rgb="FF9EADBA"/>
      </x:top>
      <x:bottom style="thin">
        <x:color rgb="FF9EADBA"/>
      </x:bottom>
    </x:border>
    <x:border>
      <x:left style="thin">
        <x:color rgb="FFD9E1E8"/>
      </x:left>
      <x:right style="thin">
        <x:color rgb="FFD9E1E8"/>
      </x:right>
      <x:bottom style="thin">
        <x:color rgb="FFD9E1E8"/>
      </x:bottom>
    </x:border>
    <x:border>
      <x:left style="thin">
        <x:color rgb="FFD9E1E8"/>
      </x:left>
      <x:right style="thin">
        <x:color rgb="FFD9E1E8"/>
      </x:right>
      <x:top style="thin">
        <x:color rgb="FFD9E1E8"/>
      </x:top>
      <x:bottom style="thin">
        <x:color rgb="FFD9E1E8"/>
      </x:bottom>
    </x:border>
    <x:border>
      <x:left style="thin">
        <x:color rgb="FFD9E1E8"/>
      </x:left>
      <x:right style="thin">
        <x:color rgb="FFD9E1E8"/>
      </x:right>
      <x:top style="thin">
        <x:color rgb="FFD9E1E8"/>
      </x:top>
    </x:border>
    <x:border>
      <x:left style="thin">
        <x:color rgb="FF9EADBA"/>
      </x:left>
      <x:right style="thin">
        <x:color rgb="FFD9E1E8"/>
      </x:right>
      <x:top style="thin">
        <x:color rgb="FF9EADBA"/>
      </x:top>
      <x:bottom style="thin">
        <x:color rgb="FFD9E1E8"/>
      </x:bottom>
    </x:border>
    <x:border>
      <x:left style="thin">
        <x:color rgb="FFD9E1E8"/>
      </x:left>
      <x:right style="thin">
        <x:color rgb="FFD9E1E8"/>
      </x:right>
      <x:top style="thin">
        <x:color rgb="FF9EADBA"/>
      </x:top>
      <x:bottom style="thin">
        <x:color rgb="FFD9E1E8"/>
      </x:bottom>
    </x:border>
    <x:border>
      <x:left style="thin">
        <x:color rgb="FFD9E1E8"/>
      </x:left>
      <x:top style="thin">
        <x:color rgb="FF9EADBA"/>
      </x:top>
      <x:bottom style="thin">
        <x:color rgb="FFD9E1E8"/>
      </x:bottom>
    </x:border>
    <x:border>
      <x:left style="thin">
        <x:color rgb="FF9EADBA"/>
      </x:left>
      <x:right style="thin">
        <x:color rgb="FFD9E1E8"/>
      </x:right>
      <x:top style="thin">
        <x:color rgb="FFD9E1E8"/>
      </x:top>
      <x:bottom style="thin">
        <x:color rgb="FFD9E1E8"/>
      </x:bottom>
    </x:border>
    <x:border>
      <x:left style="thin">
        <x:color rgb="FF9EADBA"/>
      </x:left>
      <x:right style="thin">
        <x:color rgb="FFD9E1E8"/>
      </x:right>
      <x:top style="thin">
        <x:color rgb="FFD9E1E8"/>
      </x:top>
      <x:bottom style="thin">
        <x:color rgb="FF9EADBA"/>
      </x:bottom>
    </x:border>
    <x:border>
      <x:left style="thin">
        <x:color rgb="FFD9E1E8"/>
      </x:left>
      <x:right style="thin">
        <x:color rgb="FFD9E1E8"/>
      </x:right>
      <x:top style="thin">
        <x:color rgb="FFD9E1E8"/>
      </x:top>
      <x:bottom style="thin">
        <x:color rgb="FF9EADBA"/>
      </x:bottom>
    </x:border>
    <x:border>
      <x:left style="thin">
        <x:color rgb="FFD9E1E8"/>
      </x:left>
      <x:top style="thin">
        <x:color rgb="FFD9E1E8"/>
      </x:top>
      <x:bottom style="thin">
        <x:color rgb="FF9EADBA"/>
      </x:bottom>
    </x:border>
  </x:borders>
  <x:cellStyleXfs count="1">
    <x:xf numFmtId="0" fontId="0" fillId="0" borderId="0"/>
  </x:cellStyleXfs>
  <x:cellXfs count="12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2" fillId="3" borderId="2" xfId="0" applyNumberFormat="1" applyFont="1" applyFill="1" applyBorder="1" applyAlignment="1">
      <x:alignment vertical="center" wrapText="1"/>
    </x:xf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2" fillId="3" borderId="9" xfId="0" applyNumberFormat="1" applyFont="1" applyFill="1" applyBorder="1"/>
    <x:xf numFmtId="0" fontId="2" fillId="3" borderId="9" xfId="0" applyNumberFormat="1" applyFont="1" applyFill="1" applyBorder="1" applyAlignment="1">
      <x:alignment wrapText="1"/>
    </x:xf>
    <x:xf numFmtId="0" fontId="2" fillId="3" borderId="9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0" fontId="0" fillId="0" borderId="10" xfId="0" applyNumberFormat="1" applyFont="1" applyFill="1" applyBorder="1"/>
    <x:xf numFmtId="200" fontId="0" fillId="0" borderId="11" xfId="0" applyNumberFormat="1" applyFont="1" applyFill="1" applyBorder="1"/>
    <x:xf numFmtId="201" fontId="0" fillId="0" borderId="12" xfId="0" applyNumberFormat="1" applyFont="1" applyFill="1" applyBorder="1"/>
    <x:xf numFmtId="200" fontId="0" fillId="4" borderId="10" xfId="0" applyNumberFormat="1" applyFont="1" applyFill="1" applyBorder="1"/>
    <x:xf numFmtId="200" fontId="0" fillId="4" borderId="11" xfId="0" applyNumberFormat="1" applyFont="1" applyFill="1" applyBorder="1"/>
    <x:xf numFmtId="201" fontId="0" fillId="5" borderId="12" xfId="0" applyNumberFormat="1" applyFont="1" applyFill="1" applyBorder="1"/>
    <x:xf numFmtId="200" fontId="0" fillId="0" borderId="12" xfId="0" applyNumberFormat="1" applyFont="1" applyFill="1" applyBorder="1"/>
    <x:xf numFmtId="200" fontId="0" fillId="6" borderId="10" xfId="0" applyNumberFormat="1" applyFont="1" applyFill="1" applyBorder="1"/>
    <x:xf numFmtId="200" fontId="0" fillId="6" borderId="11" xfId="0" applyNumberFormat="1" applyFont="1" applyFill="1" applyBorder="1"/>
    <x:xf numFmtId="0" fontId="0" fillId="4" borderId="7" xfId="0" applyNumberFormat="1" applyFont="1" applyFill="1" applyBorder="1"/>
    <x:xf numFmtId="200" fontId="0" fillId="4" borderId="12" xfId="0" applyNumberFormat="1" applyFont="1" applyFill="1" applyBorder="1"/>
    <x:xf numFmtId="0" fontId="0" fillId="4" borderId="8" xfId="0" applyNumberFormat="1" applyFont="1" applyFill="1" applyBorder="1"/>
    <x:xf numFmtId="0" fontId="3" fillId="4" borderId="7" xfId="0" applyNumberFormat="1" applyFont="1" applyFill="1" applyBorder="1"/>
    <x:xf numFmtId="200" fontId="3" fillId="4" borderId="12" xfId="0" applyNumberFormat="1" applyFont="1" applyFill="1" applyBorder="1"/>
    <x:xf numFmtId="0" fontId="3" fillId="4" borderId="8" xfId="0" applyNumberFormat="1" applyFont="1" applyFill="1" applyBorder="1"/>
    <x:xf numFmtId="200" fontId="0" fillId="2" borderId="0" xfId="0" applyNumberFormat="1" applyFont="1" applyFill="1" applyBorder="1"/>
    <x:xf numFmtId="0" fontId="2" fillId="2" borderId="0" xfId="0" applyNumberFormat="1" applyFont="1" applyFill="1" applyBorder="1"/>
    <x:xf numFmtId="200" fontId="2" fillId="2" borderId="0" xfId="0" applyNumberFormat="1" applyFont="1" applyFill="1" applyBorder="1"/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0" fontId="0" fillId="5" borderId="0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/>
    <x:xf numFmtId="202" fontId="0" fillId="6" borderId="0" xfId="0" applyNumberFormat="1" applyFont="1" applyFill="1" applyBorder="1"/>
    <x:xf numFmtId="0" fontId="2" fillId="3" borderId="13" xfId="0" applyNumberFormat="1" applyFont="1" applyFill="1" applyBorder="1" applyAlignment="1">
      <x:alignment vertical="center" wrapText="1"/>
    </x:xf>
    <x:xf numFmtId="0" fontId="2" fillId="3" borderId="14" xfId="0" applyNumberFormat="1" applyFont="1" applyFill="1" applyBorder="1" applyAlignment="1">
      <x:alignment vertical="center" wrapText="1"/>
    </x:xf>
    <x:xf numFmtId="0" fontId="2" fillId="3" borderId="15" xfId="0" applyNumberFormat="1" applyFont="1" applyFill="1" applyBorder="1" applyAlignment="1">
      <x:alignment vertical="center" wrapText="1"/>
    </x:xf>
    <x:xf numFmtId="0" fontId="0" fillId="0" borderId="16" xfId="0" applyNumberFormat="1" applyFont="1" applyFill="1" applyBorder="1"/>
    <x:xf numFmtId="0" fontId="0" fillId="0" borderId="11" xfId="0" applyNumberFormat="1" applyFont="1" applyFill="1" applyBorder="1"/>
    <x:xf numFmtId="202" fontId="0" fillId="0" borderId="11" xfId="0" applyNumberFormat="1" applyFont="1" applyFill="1" applyBorder="1"/>
    <x:xf numFmtId="202" fontId="0" fillId="6" borderId="11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202" fontId="0" fillId="0" borderId="18" xfId="0" applyNumberFormat="1" applyFont="1" applyFill="1" applyBorder="1"/>
    <x:xf numFmtId="202" fontId="0" fillId="6" borderId="18" xfId="0" applyNumberFormat="1" applyFont="1" applyFill="1" applyBorder="1"/>
    <x:xf numFmtId="20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16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202" fontId="0" fillId="0" borderId="11" xfId="0" applyNumberFormat="1" applyFont="1" applyFill="1" applyBorder="1" applyAlignment="1">
      <x:alignment wrapText="1"/>
    </x:xf>
    <x:xf numFmtId="202" fontId="0" fillId="6" borderId="11" xfId="0" applyNumberFormat="1" applyFont="1" applyFill="1" applyBorder="1" applyAlignment="1">
      <x:alignment wrapText="1"/>
    </x:xf>
    <x:xf numFmtId="200" fontId="0" fillId="0" borderId="11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8" xfId="0" applyNumberFormat="1" applyFont="1" applyFill="1" applyBorder="1" applyAlignment="1">
      <x:alignment wrapText="1"/>
    </x:xf>
    <x:xf numFmtId="202" fontId="0" fillId="0" borderId="18" xfId="0" applyNumberFormat="1" applyFont="1" applyFill="1" applyBorder="1" applyAlignment="1">
      <x:alignment wrapText="1"/>
    </x:xf>
    <x:xf numFmtId="202" fontId="0" fillId="6" borderId="18" xfId="0" applyNumberFormat="1" applyFont="1" applyFill="1" applyBorder="1" applyAlignment="1">
      <x:alignment wrapText="1"/>
    </x:xf>
    <x:xf numFmtId="200" fontId="0" fillId="0" borderId="18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202" fontId="0" fillId="0" borderId="11" xfId="0" applyNumberFormat="1" applyFont="1" applyFill="1" applyBorder="1" applyAlignment="1">
      <x:alignment vertical="top" wrapText="1"/>
    </x:xf>
    <x:xf numFmtId="202" fontId="0" fillId="6" borderId="11" xfId="0" applyNumberFormat="1" applyFont="1" applyFill="1" applyBorder="1" applyAlignment="1">
      <x:alignment vertical="top" wrapText="1"/>
    </x:xf>
    <x:xf numFmtId="200" fontId="0" fillId="0" borderId="11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0" fontId="0" fillId="0" borderId="18" xfId="0" applyNumberFormat="1" applyFont="1" applyFill="1" applyBorder="1" applyAlignment="1">
      <x:alignment vertical="top" wrapText="1"/>
    </x:xf>
    <x:xf numFmtId="202" fontId="0" fillId="0" borderId="18" xfId="0" applyNumberFormat="1" applyFont="1" applyFill="1" applyBorder="1" applyAlignment="1">
      <x:alignment vertical="top" wrapText="1"/>
    </x:xf>
    <x:xf numFmtId="202" fontId="0" fillId="6" borderId="18" xfId="0" applyNumberFormat="1" applyFont="1" applyFill="1" applyBorder="1" applyAlignment="1">
      <x:alignment vertical="top" wrapText="1"/>
    </x:xf>
    <x:xf numFmtId="200" fontId="0" fillId="0" borderId="18" xfId="0" applyNumberFormat="1" applyFont="1" applyFill="1" applyBorder="1" applyAlignment="1">
      <x:alignment vertical="top" wrapText="1"/>
    </x:xf>
    <x:xf numFmtId="0" fontId="0" fillId="0" borderId="19" xfId="0" applyNumberFormat="1" applyFont="1" applyFill="1" applyBorder="1" applyAlignment="1">
      <x:alignment vertical="top" wrapText="1"/>
    </x:xf>
    <x:xf numFmtId="203" fontId="0" fillId="6" borderId="0" xfId="0" applyNumberFormat="1" applyFont="1" applyFill="1" applyBorder="1"/>
    <x:xf numFmtId="204" fontId="0" fillId="0" borderId="0" xfId="0" applyNumberFormat="1" applyFont="1" applyFill="1" applyBorder="1"/>
    <x:xf numFmtId="204" fontId="2" fillId="2" borderId="0" xfId="0" applyNumberFormat="1" applyFont="1" applyFill="1" applyBorder="1"/>
    <x:xf numFmtId="0" fontId="0" fillId="6" borderId="11" xfId="0" applyNumberFormat="1" applyFont="1" applyFill="1" applyBorder="1"/>
    <x:xf numFmtId="204" fontId="0" fillId="0" borderId="11" xfId="0" applyNumberFormat="1" applyFont="1" applyFill="1" applyBorder="1"/>
    <x:xf numFmtId="0" fontId="2" fillId="2" borderId="17" xfId="0" applyNumberFormat="1" applyFont="1" applyFill="1" applyBorder="1"/>
    <x:xf numFmtId="0" fontId="2" fillId="2" borderId="18" xfId="0" applyNumberFormat="1" applyFont="1" applyFill="1" applyBorder="1"/>
    <x:xf numFmtId="204" fontId="2" fillId="2" borderId="18" xfId="0" applyNumberFormat="1" applyFont="1" applyFill="1" applyBorder="1"/>
    <x:xf numFmtId="200" fontId="2" fillId="2" borderId="18" xfId="0" applyNumberFormat="1" applyFont="1" applyFill="1" applyBorder="1"/>
    <x:xf numFmtId="0" fontId="0" fillId="6" borderId="11" xfId="0" applyNumberFormat="1" applyFont="1" applyFill="1" applyBorder="1" applyAlignment="1">
      <x:alignment wrapText="1"/>
    </x:xf>
    <x:xf numFmtId="204" fontId="0" fillId="0" borderId="11" xfId="0" applyNumberFormat="1" applyFont="1" applyFill="1" applyBorder="1" applyAlignment="1">
      <x:alignment wrapText="1"/>
    </x:xf>
    <x:xf numFmtId="205" fontId="0" fillId="0" borderId="0" xfId="0" applyNumberFormat="1" applyFont="1" applyFill="1" applyBorder="1"/>
    <x:xf numFmtId="206" fontId="2" fillId="2" borderId="0" xfId="0" applyNumberFormat="1" applyFont="1" applyFill="1" applyBorder="1"/>
    <x:xf numFmtId="201" fontId="2" fillId="2" borderId="0" xfId="0" applyNumberFormat="1" applyFont="1" applyFill="1" applyBorder="1"/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205" fontId="0" fillId="0" borderId="11" xfId="0" applyNumberFormat="1" applyFont="1" applyFill="1" applyBorder="1"/>
    <x:xf numFmtId="201" fontId="0" fillId="0" borderId="11" xfId="0" applyNumberFormat="1" applyFont="1" applyFill="1" applyBorder="1"/>
    <x:xf numFmtId="205" fontId="0" fillId="0" borderId="18" xfId="0" applyNumberFormat="1" applyFont="1" applyFill="1" applyBorder="1"/>
    <x:xf numFmtId="201" fontId="0" fillId="0" borderId="18" xfId="0" applyNumberFormat="1" applyFont="1" applyFill="1" applyBorder="1"/>
    <x:xf numFmtId="205" fontId="0" fillId="0" borderId="11" xfId="0" applyNumberFormat="1" applyFont="1" applyFill="1" applyBorder="1" applyAlignment="1">
      <x:alignment wrapText="1"/>
    </x:xf>
    <x:xf numFmtId="201" fontId="0" fillId="0" borderId="11" xfId="0" applyNumberFormat="1" applyFont="1" applyFill="1" applyBorder="1" applyAlignment="1">
      <x:alignment wrapText="1"/>
    </x:xf>
    <x:xf numFmtId="205" fontId="0" fillId="0" borderId="18" xfId="0" applyNumberFormat="1" applyFont="1" applyFill="1" applyBorder="1" applyAlignment="1">
      <x:alignment wrapText="1"/>
    </x:xf>
    <x:xf numFmtId="201" fontId="0" fillId="0" borderId="18" xfId="0" applyNumberFormat="1" applyFont="1" applyFill="1" applyBorder="1" applyAlignment="1">
      <x:alignment wrapText="1"/>
    </x:xf>
    <x:xf numFmtId="204" fontId="0" fillId="6" borderId="0" xfId="0" applyNumberFormat="1" applyFont="1" applyFill="1" applyBorder="1"/>
    <x:xf numFmtId="201" fontId="0" fillId="6" borderId="0" xfId="0" applyNumberFormat="1" applyFont="1" applyFill="1" applyBorder="1"/>
    <x:xf numFmtId="205" fontId="0" fillId="6" borderId="0" xfId="0" applyNumberFormat="1" applyFont="1" applyFill="1" applyBorder="1"/>
    <x:xf numFmtId="207" fontId="0" fillId="0" borderId="0" xfId="0" applyNumberFormat="1" applyFont="1" applyFill="1" applyBorder="1"/>
    <x:xf numFmtId="207" fontId="0" fillId="0" borderId="6" xfId="0" applyNumberFormat="1" applyFont="1" applyFill="1" applyBorder="1"/>
    <x:xf numFmtId="204" fontId="0" fillId="0" borderId="18" xfId="0" applyNumberFormat="1" applyFont="1" applyFill="1" applyBorder="1"/>
    <x:xf numFmtId="207" fontId="0" fillId="0" borderId="19" xfId="0" applyNumberFormat="1" applyFont="1" applyFill="1" applyBorder="1"/>
    <x:xf numFmtId="207" fontId="0" fillId="4" borderId="6" xfId="0" applyNumberFormat="1" applyFont="1" applyFill="1" applyBorder="1"/>
    <x:xf numFmtId="207" fontId="0" fillId="4" borderId="19" xfId="0" applyNumberFormat="1" applyFont="1" applyFill="1" applyBorder="1"/>
    <x:xf numFmtId="200" fontId="0" fillId="0" borderId="6" xfId="0" applyNumberFormat="1" applyFont="1" applyFill="1" applyBorder="1"/>
    <x:xf numFmtId="200" fontId="0" fillId="0" borderId="19" xfId="0" applyNumberFormat="1" applyFont="1" applyFill="1" applyBorder="1"/>
    <x:xf numFmtId="200" fontId="0" fillId="0" borderId="6" xfId="0" applyNumberFormat="1" applyFont="1" applyFill="1" applyBorder="1" applyAlignment="1">
      <x:alignment wrapText="1"/>
    </x:xf>
    <x:xf numFmtId="200" fontId="0" fillId="0" borderId="19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wrapText="1"/>
    </x:xf>
  </x:cellXfs>
  <x:cellStyles count="1">
    <x:cellStyle name="Normal" xfId="0"/>
  </x:cellStyles>
  <x:dxfs count="6">
    <x:dxf>
      <x:font>
        <x:b/>
        <x:color rgb="FF215E21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666666"/>
      </x:font>
      <x:fill>
        <x:patternFill patternType="solid">
          <x:bgColor rgb="FFE7E6E6"/>
        </x:patternFill>
      </x:fill>
    </x:dxf>
    <x:dxf>
      <x:font>
        <x:b/>
        <x:color rgb="FF7F0000"/>
      </x:font>
      <x:fill>
        <x:patternFill patternType="solid">
          <x:bgColor rgb="FFF4CCCC"/>
        </x:patternFill>
      </x:fill>
    </x:dxf>
    <x:dxf>
      <x:font>
        <x:b/>
        <x:color rgb="FF215E21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cc964ef673c4d16" /><Relationship Type="http://schemas.openxmlformats.org/officeDocument/2006/relationships/theme" Target="/xl/theme/theme1.xml" Id="R3b66cd2c6c3f4de8" /><Relationship Type="http://schemas.openxmlformats.org/officeDocument/2006/relationships/sharedStrings" Target="/xl/sharedStrings.xml" Id="R39f2c4b19cb744b4" /><Relationship Type="http://schemas.openxmlformats.org/officeDocument/2006/relationships/worksheet" Target="/xl/worksheets/sheet1.xml" Id="R8985c97be09047a9" /><Relationship Type="http://schemas.openxmlformats.org/officeDocument/2006/relationships/worksheet" Target="/xl/worksheets/sheet2.xml" Id="Rd4272567bdf04f8c" /><Relationship Type="http://schemas.openxmlformats.org/officeDocument/2006/relationships/worksheet" Target="/xl/worksheets/sheet3.xml" Id="Rb2353ad2caa44c3b" /><Relationship Type="http://schemas.openxmlformats.org/officeDocument/2006/relationships/worksheet" Target="/xl/worksheets/sheet4.xml" Id="R87f0e7cb1a7342bd" /><Relationship Type="http://schemas.openxmlformats.org/officeDocument/2006/relationships/worksheet" Target="/xl/worksheets/sheet5.xml" Id="R4581be03a6bb418d" /><Relationship Type="http://schemas.openxmlformats.org/officeDocument/2006/relationships/worksheet" Target="/xl/worksheets/sheet6.xml" Id="Rbbf038b678df40ed" /><Relationship Type="http://schemas.microsoft.com/office/2017/10/relationships/person" Target="/xl/persons/person.xml" Id="R21bfd65368bb42a0" /></Relationships>
</file>

<file path=xl/persons/person.xml><?xml version="1.0" encoding="utf-8"?>
<xltc:personList xmlns:xltc="http://schemas.microsoft.com/office/spreadsheetml/2018/threadedcomments">
  <xltc:person displayName="Darsh Gupta" id="{C36785B0-91CC-4D38-8D04-6E153ADB572C}"/>
</xltc:personList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I5" dT="2026-08-25T23:15:51.536" personId="{C36785B0-91CC-4D38-8D04-6E153ADB572C}" id="{88396C2E-C5A0-B4C1-F89D-5D92818F44EE}">
    <xltc:text>User-provided price per NdFeB magnet. The Amazon ceramic/ferrite link is not used for this row.</xltc:text>
  </xltc:threadedComment>
</xltc:ThreadedComments>
</file>

<file path=xl/threadedcomments/threadedcomment2.xml><?xml version="1.0" encoding="utf-8"?>
<xltc:ThreadedComments xmlns:xltc="http://schemas.microsoft.com/office/spreadsheetml/2018/threadedcomments">
  <xltc:threadedComment ref="B5" dT="2026-08-25T23:15:51.536" personId="{C36785B0-91CC-4D38-8D04-6E153ADB572C}" id="{011BD1C6-BDC0-0814-FD43-52F5E8E279C2}">
    <xltc:text>Planning price only. Replace with the delivered small-cut 6061-T6 quote.</xltc:text>
  </xltc:threadedComment>
</xltc:ThreadedComments>
</file>

<file path=xl/threadedcomments/threadedcomment3.xml><?xml version="1.0" encoding="utf-8"?>
<xltc:ThreadedComments xmlns:xltc="http://schemas.microsoft.com/office/spreadsheetml/2018/threadedcomments">
  <xltc:threadedComment ref="B8" dT="2026-08-25T23:15:51.536" personId="{C36785B0-91CC-4D38-8D04-6E153ADB572C}" id="{0E05874E-5281-78A1-8E50-9B12EEF6453B}">
    <xltc:text>Required copper area is provisional until Kv, resistance, slot fill and current-density calculations are rerun on corrected CAD.</xltc:text>
  </xltc:threadedComment>
</xltc:ThreadedComments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1.xml" Id="Re8c4a309c52f40e5" /><Relationship Type="http://schemas.openxmlformats.org/officeDocument/2006/relationships/vmlDrawing" Target="/xl/drawings/vmldrawing.vml" Id="Rc5cca05ec2474811" /><Relationship Type="http://schemas.microsoft.com/office/2017/10/relationships/threadedComment" Target="/xl/threadedcomments/threadedcomment.xml" Id="R6436ac1ca7be494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comments" Target="/xl/comments2.xml" Id="Rbc061d35cf514ff9" /><Relationship Type="http://schemas.openxmlformats.org/officeDocument/2006/relationships/vmlDrawing" Target="/xl/drawings/vmldrawing2.vml" Id="Rf426fa21abc64817" /><Relationship Type="http://schemas.microsoft.com/office/2017/10/relationships/threadedComment" Target="/xl/threadedcomments/threadedcomment2.xml" Id="Rea0967e436ba422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comments" Target="/xl/comments3.xml" Id="Red38d467734046c7" /><Relationship Type="http://schemas.openxmlformats.org/officeDocument/2006/relationships/vmlDrawing" Target="/xl/drawings/vmldrawing3.vml" Id="Rabcef7a8cd564ff7" /><Relationship Type="http://schemas.microsoft.com/office/2017/10/relationships/threadedComment" Target="/xl/threadedcomments/threadedcomment3.xml" Id="R2d310db3b8174d8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8" hidden="0" customWidth="1"/>
    <x:col min="3" max="3" width="3" hidden="0" customWidth="1"/>
    <x:col min="4" max="4" width="26" hidden="0" customWidth="1"/>
    <x:col min="5" max="5" width="18" hidden="0" customWidth="1"/>
    <x:col min="6" max="6" width="48" hidden="0" customWidth="1"/>
    <x:col min="7" max="7" width="12" hidden="0" customWidth="1"/>
    <x:col min="8" max="8" width="12" hidden="0" customWidth="1"/>
  </x:cols>
  <x:sheetData>
    <x:row r="1" ht="30" customHeight="1">
      <x:c r="A1" s="3" t="str">
        <x:v>Four-Motor Retail BOM — Current Selected Path</x:v>
      </x:c>
      <x:c r="B1" s="3" t="str">
        <x:v>Four-Motor Retail BOM — Current Selected Path</x:v>
      </x:c>
      <x:c r="C1" s="3" t="str">
        <x:v>Four-Motor Retail BOM — Current Selected Path</x:v>
      </x:c>
      <x:c r="D1" s="3" t="str">
        <x:v>Four-Motor Retail BOM — Current Selected Path</x:v>
      </x:c>
      <x:c r="E1" s="3" t="str">
        <x:v>Four-Motor Retail BOM — Current Selected Path</x:v>
      </x:c>
      <x:c r="F1" s="3" t="str">
        <x:v>Four-Motor Retail BOM — Current Selected Path</x:v>
      </x:c>
      <x:c r="G1" s="3" t="str">
        <x:v>Four-Motor Retail BOM — Current Selected Path</x:v>
      </x:c>
      <x:c r="H1" s="3" t="str">
        <x:v>Four-Motor Retail BOM — Current Selected Path</x:v>
      </x:c>
    </x:row>
    <x:row r="3" ht="30" customHeight="1">
      <x:c r="A3" s="10" t="str">
        <x:v>Design basis</x:v>
      </x:c>
      <x:c r="B3" s="11" t="str">
        <x:v>Current value</x:v>
      </x:c>
      <x:c r="D3" s="10" t="str">
        <x:v>Cost summary</x:v>
      </x:c>
      <x:c r="E3" s="20" t="str">
        <x:v>Formula-driven value</x:v>
      </x:c>
      <x:c r="F3" s="11" t="str">
        <x:v>Interpretation</x:v>
      </x:c>
    </x:row>
    <x:row r="4">
      <x:c r="A4" s="12" t="str">
        <x:v>Motor quantity</x:v>
      </x:c>
      <x:c r="B4" s="13" t="n">
        <x:v>4</x:v>
      </x:c>
      <x:c r="D4" s="12" t="str">
        <x:v>Selected purchase subtotal</x:v>
      </x:c>
      <x:c r="E4" s="26" t="n">
        <x:f>ROUND(SUM('Purchase BOM'!$J$5:$J$18),0)</x:f>
        <x:v>30143</x:v>
      </x:c>
      <x:c r="F4" s="13" t="str">
        <x:v>Includes twelve donor stators, provisional wire and 6061 stock; excludes CNC labour</x:v>
      </x:c>
    </x:row>
    <x:row r="5">
      <x:c r="A5" s="14" t="str">
        <x:v>Stator topology</x:v>
      </x:c>
      <x:c r="B5" s="15" t="str">
        <x:v>12-slot / 8-pole</x:v>
      </x:c>
      <x:c r="D5" s="14" t="str">
        <x:v>Known/frozen retail items</x:v>
      </x:c>
      <x:c r="E5" s="27" t="n">
        <x:f>ROUND(SUMIF('Purchase BOM'!$K$5:$K$18,"BUY",'Purchase BOM'!$J$5:$J$18),0)</x:f>
        <x:v>22628</x:v>
      </x:c>
      <x:c r="F5" s="15" t="str">
        <x:v>Rows currently marked BUY in Purchase BOM</x:v>
      </x:c>
    </x:row>
    <x:row r="6">
      <x:c r="A6" s="14" t="str">
        <x:v>Stator OD</x:v>
      </x:c>
      <x:c r="B6" s="15" t="str">
        <x:v>42 mm</x:v>
      </x:c>
      <x:c r="D6" s="14" t="str">
        <x:v>6061-T6 stock allowance</x:v>
      </x:c>
      <x:c r="E6" s="27" t="n">
        <x:f>ROUND('CNC Stock'!$J$14,0)</x:f>
        <x:v>921</x:v>
      </x:c>
      <x:c r="F6" s="15" t="str">
        <x:v>Material only for three CNC parts × four motors</x:v>
      </x:c>
    </x:row>
    <x:row r="7">
      <x:c r="A7" s="14" t="str">
        <x:v>Active stack</x:v>
      </x:c>
      <x:c r="B7" s="15" t="str">
        <x:v>20 mm</x:v>
      </x:c>
      <x:c r="D7" s="14" t="str">
        <x:v>Provisional 24 SWG wire</x:v>
      </x:c>
      <x:c r="E7" s="27" t="n">
        <x:f>ROUND('Wire Estimate'!$H$12,0)</x:f>
        <x:v>5364</x:v>
      </x:c>
      <x:c r="F7" s="15" t="str">
        <x:v>Replace checkout price and winding assumptions before buying</x:v>
      </x:c>
    </x:row>
    <x:row r="8">
      <x:c r="A8" s="14" t="str">
        <x:v>Maximum motor envelope</x:v>
      </x:c>
      <x:c r="B8" s="15" t="str">
        <x:v>62 mm OD × 45 mm high</x:v>
      </x:c>
      <x:c r="D8" s="16" t="str">
        <x:v>Unpriced HOLD rows</x:v>
      </x:c>
      <x:c r="E8" s="28" t="n">
        <x:f>COUNTIF('Purchase BOM'!$I$5:$I$18,0)</x:f>
        <x:v>2</x:v>
      </x:c>
      <x:c r="F8" s="17" t="str">
        <x:v>Carbon and E-glass are priced through the separate infusion-cart subtotal</x:v>
      </x:c>
    </x:row>
    <x:row r="9">
      <x:c r="A9" s="14" t="str">
        <x:v>Shaft</x:v>
      </x:c>
      <x:c r="B9" s="15" t="str">
        <x:v>8 mm ground steel</x:v>
      </x:c>
    </x:row>
    <x:row r="10" ht="30" customHeight="1">
      <x:c r="A10" s="14" t="str">
        <x:v>Rotor liner</x:v>
      </x:c>
      <x:c r="B10" s="15" t="str">
        <x:v>Two nested 0.5 mm mild-steel layers</x:v>
      </x:c>
      <x:c r="D10" s="10" t="str">
        <x:v>Confirmed infusion-path cash</x:v>
      </x:c>
      <x:c r="E10" s="20" t="str">
        <x:v>Value</x:v>
      </x:c>
      <x:c r="F10" s="11" t="str">
        <x:v>Treatment</x:v>
      </x:c>
    </x:row>
    <x:row r="11">
      <x:c r="A11" s="16" t="str">
        <x:v>Stator core path</x:v>
      </x:c>
      <x:c r="B11" s="17" t="str">
        <x:v>3× REES52 4007 stacks per motor</x:v>
      </x:c>
      <x:c r="D11" s="12" t="str">
        <x:v>User-confirmed materials subtotal</x:v>
      </x:c>
      <x:c r="E11" s="30" t="n">
        <x:v>4271</x:v>
      </x:c>
      <x:c r="F11" s="13" t="str">
        <x:v>Includes the Carbon Fiber India cart; do not add its visible lines again</x:v>
      </x:c>
    </x:row>
    <x:row r="12">
      <x:c r="D12" s="14" t="str">
        <x:v>Vacuum pump</x:v>
      </x:c>
      <x:c r="E12" s="31" t="n">
        <x:v>6800</x:v>
      </x:c>
      <x:c r="F12" s="15" t="str">
        <x:v>Reusable capital/tooling purchase</x:v>
      </x:c>
    </x:row>
    <x:row r="13">
      <x:c r="D13" s="35" t="str">
        <x:v>Immediate cash outlay</x:v>
      </x:c>
      <x:c r="E13" s="36" t="n">
        <x:f>ROUND('Infusion Budget'!$E$20,0)</x:f>
        <x:v>11071</x:v>
      </x:c>
      <x:c r="F13" s="37" t="str">
        <x:v>Materials subtotal plus pump</x:v>
      </x:c>
    </x:row>
    <x:row r="14">
      <x:c r="D14" s="39" t="str">
        <x:v>Grand project cash</x:v>
      </x:c>
      <x:c r="E14" s="40" t="n">
        <x:f>ROUND(E4+'Infusion Budget'!$E$20,0)</x:f>
        <x:v>41214</x:v>
      </x:c>
      <x:c r="F14" s="39" t="str">
        <x:v>Main motor BOM plus infusion materials and reusable pump</x:v>
      </x:c>
    </x:row>
    <x:row r="16">
      <x:c r="A16" s="42" t="str">
        <x:v>Critical checkout gates</x:v>
      </x:c>
      <x:c r="B16" s="42"/>
      <x:c r="C16" s="42"/>
      <x:c r="D16" s="42"/>
      <x:c r="E16" s="42"/>
      <x:c r="F16" s="42"/>
      <x:c r="G16" s="42"/>
      <x:c r="H16" s="42"/>
    </x:row>
    <x:row r="17" ht="38" customHeight="1">
      <x:c r="A17" s="45" t="str">
        <x:v>1</x:v>
      </x:c>
      <x:c r="B17" s="45" t="str">
        <x:v>Do not buy the linked B0CVS4KBZ6 magnets: that listing is ceramic/ferrite, not the agreed N42/N52 NdFeB rotor magnet.</x:v>
      </x:c>
      <x:c r="C17" s="45"/>
      <x:c r="D17" s="45"/>
      <x:c r="E17" s="45"/>
      <x:c r="F17" s="45"/>
      <x:c r="G17" s="45"/>
      <x:c r="H17" s="45"/>
    </x:row>
    <x:row r="18" ht="38" customHeight="1">
      <x:c r="A18" s="45" t="str">
        <x:v>2</x:v>
      </x:c>
      <x:c r="B18" s="45" t="str">
        <x:v>The selected 24 SWG ART IFACT wire is only provisionally listed. The public description says modified-polyurethane enamel, not verified Class H. Obtain thermal-class and dielectric data first.</x:v>
      </x:c>
      <x:c r="C18" s="45"/>
      <x:c r="D18" s="45"/>
      <x:c r="E18" s="45"/>
      <x:c r="F18" s="45"/>
      <x:c r="G18" s="45"/>
      <x:c r="H18" s="45"/>
    </x:row>
    <x:row r="19" ht="38" customHeight="1">
      <x:c r="A19" s="45" t="str">
        <x:v>3</x:v>
      </x:c>
      <x:c r="B19" s="45" t="str">
        <x:v>₹30 608ZZ bearings are prototype samples. Verify manufacturer speed rating, grease, clearance, temperature rise and runout before any 35 krpm or overspeed test.</x:v>
      </x:c>
      <x:c r="C19" s="45"/>
      <x:c r="D19" s="45"/>
      <x:c r="E19" s="45"/>
      <x:c r="F19" s="45"/>
      <x:c r="G19" s="45"/>
      <x:c r="H19" s="45"/>
    </x:row>
    <x:row r="20" ht="38" customHeight="1">
      <x:c r="A20" s="45" t="str">
        <x:v>4</x:v>
      </x:c>
      <x:c r="B20" s="45" t="str">
        <x:v>CNC stock dimensions are planning blanks, not released manufacturing dimensions. Update them from corrected STEP/drawings before ordering cut pieces.</x:v>
      </x:c>
      <x:c r="C20" s="45"/>
      <x:c r="D20" s="45"/>
      <x:c r="E20" s="45"/>
      <x:c r="F20" s="45"/>
      <x:c r="G20" s="45"/>
      <x:c r="H20" s="45"/>
    </x:row>
  </x:sheetData>
  <x:mergeCells>
    <x:mergeCell ref="A1:H1"/>
    <x:mergeCell ref="A16:H16"/>
    <x:mergeCell ref="B17:H17"/>
    <x:mergeCell ref="B18:H18"/>
    <x:mergeCell ref="B19:H19"/>
    <x:mergeCell ref="B20:H2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5" hidden="0" customWidth="1"/>
    <x:col min="3" max="3" width="24" hidden="0" customWidth="1"/>
    <x:col min="4" max="4" width="42" hidden="0" customWidth="1"/>
    <x:col min="5" max="5" width="14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5" hidden="0" customWidth="1"/>
    <x:col min="12" max="12" width="42" hidden="0" customWidth="1"/>
    <x:col min="13" max="13" width="52" hidden="0" customWidth="1"/>
  </x:cols>
  <x:sheetData>
    <x:row r="1" ht="30" customHeight="1">
      <x:c r="A1" s="3" t="str">
        <x:v>Purchase BOM — Four Motors with REES52 Donor Stator Cores</x:v>
      </x:c>
      <x:c r="B1" s="3" t="str">
        <x:v>Purchase BOM — Four Motors with REES52 Donor Stator Cores</x:v>
      </x:c>
      <x:c r="C1" s="3" t="str">
        <x:v>Purchase BOM — Four Motors with REES52 Donor Stator Cores</x:v>
      </x:c>
      <x:c r="D1" s="3" t="str">
        <x:v>Purchase BOM — Four Motors with REES52 Donor Stator Cores</x:v>
      </x:c>
      <x:c r="E1" s="3" t="str">
        <x:v>Purchase BOM — Four Motors with REES52 Donor Stator Cores</x:v>
      </x:c>
      <x:c r="F1" s="3" t="str">
        <x:v>Purchase BOM — Four Motors with REES52 Donor Stator Cores</x:v>
      </x:c>
      <x:c r="G1" s="3" t="str">
        <x:v>Purchase BOM — Four Motors with REES52 Donor Stator Cores</x:v>
      </x:c>
      <x:c r="H1" s="3" t="str">
        <x:v>Purchase BOM — Four Motors with REES52 Donor Stator Cores</x:v>
      </x:c>
      <x:c r="I1" s="3" t="str">
        <x:v>Purchase BOM — Four Motors with REES52 Donor Stator Cores</x:v>
      </x:c>
      <x:c r="J1" s="3" t="str">
        <x:v>Purchase BOM — Four Motors with REES52 Donor Stator Cores</x:v>
      </x:c>
      <x:c r="K1" s="3" t="str">
        <x:v>Purchase BOM — Four Motors with REES52 Donor Stator Cores</x:v>
      </x:c>
      <x:c r="L1" s="3" t="str">
        <x:v>Purchase BOM — Four Motors with REES52 Donor Stator Cores</x:v>
      </x:c>
      <x:c r="M1" s="3" t="str">
        <x:v>Purchase BOM — Four Motors with REES52 Donor Stator Cores</x:v>
      </x:c>
    </x:row>
    <x:row r="2">
      <x:c r="A2" s="48" t="str">
        <x:v>Blue cells are editable inputs. Extended costs and stock quantities are formulas. Prices are retail estimates and should be overwritten with checkout values.</x:v>
      </x:c>
      <x:c r="B2" s="48" t="str">
        <x:v>Blue cells are editable inputs. Extended costs and stock quantities are formulas. Prices are retail estimates and should be overwritten with checkout values.</x:v>
      </x:c>
      <x:c r="C2" s="48" t="str">
        <x:v>Blue cells are editable inputs. Extended costs and stock quantities are formulas. Prices are retail estimates and should be overwritten with checkout values.</x:v>
      </x:c>
      <x:c r="D2" s="48" t="str">
        <x:v>Blue cells are editable inputs. Extended costs and stock quantities are formulas. Prices are retail estimates and should be overwritten with checkout values.</x:v>
      </x:c>
      <x:c r="E2" s="48" t="str">
        <x:v>Blue cells are editable inputs. Extended costs and stock quantities are formulas. Prices are retail estimates and should be overwritten with checkout values.</x:v>
      </x:c>
      <x:c r="F2" s="48" t="str">
        <x:v>Blue cells are editable inputs. Extended costs and stock quantities are formulas. Prices are retail estimates and should be overwritten with checkout values.</x:v>
      </x:c>
      <x:c r="G2" s="48" t="str">
        <x:v>Blue cells are editable inputs. Extended costs and stock quantities are formulas. Prices are retail estimates and should be overwritten with checkout values.</x:v>
      </x:c>
      <x:c r="H2" s="48" t="str">
        <x:v>Blue cells are editable inputs. Extended costs and stock quantities are formulas. Prices are retail estimates and should be overwritten with checkout values.</x:v>
      </x:c>
      <x:c r="I2" s="48" t="str">
        <x:v>Blue cells are editable inputs. Extended costs and stock quantities are formulas. Prices are retail estimates and should be overwritten with checkout values.</x:v>
      </x:c>
      <x:c r="J2" s="48" t="str">
        <x:v>Blue cells are editable inputs. Extended costs and stock quantities are formulas. Prices are retail estimates and should be overwritten with checkout values.</x:v>
      </x:c>
      <x:c r="K2" s="48" t="str">
        <x:v>Blue cells are editable inputs. Extended costs and stock quantities are formulas. Prices are retail estimates and should be overwritten with checkout values.</x:v>
      </x:c>
      <x:c r="L2" s="48" t="str">
        <x:v>Blue cells are editable inputs. Extended costs and stock quantities are formulas. Prices are retail estimates and should be overwritten with checkout values.</x:v>
      </x:c>
      <x:c r="M2" s="48" t="str">
        <x:v>Blue cells are editable inputs. Extended costs and stock quantities are formulas. Prices are retail estimates and should be overwritten with checkout values.</x:v>
      </x:c>
    </x:row>
    <x:row r="4" ht="30" customHeight="1">
      <x:c r="A4" s="51" t="str">
        <x:v>ID</x:v>
      </x:c>
      <x:c r="B4" s="52" t="str">
        <x:v>Category</x:v>
      </x:c>
      <x:c r="C4" s="52" t="str">
        <x:v>Item</x:v>
      </x:c>
      <x:c r="D4" s="52" t="str">
        <x:v>Selected specification</x:v>
      </x:c>
      <x:c r="E4" s="52" t="str">
        <x:v>Pack / stock unit</x:v>
      </x:c>
      <x:c r="F4" s="52" t="str">
        <x:v>Installed qty</x:v>
      </x:c>
      <x:c r="G4" s="52" t="str">
        <x:v>Spare qty</x:v>
      </x:c>
      <x:c r="H4" s="52" t="str">
        <x:v>Purchase qty</x:v>
      </x:c>
      <x:c r="I4" s="52" t="str">
        <x:v>Unit price INR</x:v>
      </x:c>
      <x:c r="J4" s="52" t="str">
        <x:v>Extended INR</x:v>
      </x:c>
      <x:c r="K4" s="52" t="str">
        <x:v>Status</x:v>
      </x:c>
      <x:c r="L4" s="52" t="str">
        <x:v>Retail source</x:v>
      </x:c>
      <x:c r="M4" s="53" t="str">
        <x:v>Engineering note</x:v>
      </x:c>
    </x:row>
    <x:row r="5" ht="46" customHeight="1">
      <x:c r="A5" s="76" t="n">
        <x:v>1</x:v>
      </x:c>
      <x:c r="B5" s="77" t="str">
        <x:v>Rotor</x:v>
      </x:c>
      <x:c r="C5" s="77" t="str">
        <x:v>NdFeB magnets</x:v>
      </x:c>
      <x:c r="D5" s="77" t="str">
        <x:v>20×10×2 mm; N42/N52; thickness magnetized</x:v>
      </x:c>
      <x:c r="E5" s="77" t="str">
        <x:v>piece</x:v>
      </x:c>
      <x:c r="F5" s="78" t="n">
        <x:v>32</x:v>
      </x:c>
      <x:c r="G5" s="78" t="n">
        <x:v>18</x:v>
      </x:c>
      <x:c r="H5" s="78" t="n">
        <x:v>50</x:v>
      </x:c>
      <x:c r="I5" s="79" t="n">
        <x:v>42.8</x:v>
      </x:c>
      <x:c r="J5" s="80" t="n">
        <x:f>ROUND(H5*I5,0)</x:f>
        <x:v>2140</x:v>
      </x:c>
      <x:c r="K5" s="77" t="str">
        <x:v>BUY</x:v>
      </x:c>
      <x:c r="L5" s="77" t="str">
        <x:v>User retail quote; Amazon ferrite link rejected</x:v>
      </x:c>
      <x:c r="M5" s="81" t="str">
        <x:v>Grade and magnetization direction require verification; 50 pieces allows 18 spares.</x:v>
      </x:c>
    </x:row>
    <x:row r="6" ht="46" customHeight="1">
      <x:c r="A6" s="76" t="n">
        <x:v>2</x:v>
      </x:c>
      <x:c r="B6" s="77" t="str">
        <x:v>Rotor</x:v>
      </x:c>
      <x:c r="C6" s="77" t="str">
        <x:v>Flux-liner sheet</x:v>
      </x:c>
      <x:c r="D6" s="77" t="str">
        <x:v>0.5 mm cold-rolled ungalvanized mild steel; approx. 300×600 mm</x:v>
      </x:c>
      <x:c r="E6" s="77" t="str">
        <x:v>sheet</x:v>
      </x:c>
      <x:c r="F6" s="78" t="n">
        <x:v>1</x:v>
      </x:c>
      <x:c r="G6" s="78" t="n">
        <x:v>0</x:v>
      </x:c>
      <x:c r="H6" s="78" t="n">
        <x:v>1</x:v>
      </x:c>
      <x:c r="I6" s="79" t="n">
        <x:v>1400</x:v>
      </x:c>
      <x:c r="J6" s="80" t="n">
        <x:f>ROUND(H6*I6,0)</x:f>
        <x:v>1400</x:v>
      </x:c>
      <x:c r="K6" s="77" t="str">
        <x:v>BUY</x:v>
      </x:c>
      <x:c r="L6" s="77" t="str">
        <x:v>https://www.amazon.in/dp/B0F2NBWV58</x:v>
      </x:c>
      <x:c r="M6" s="81" t="str">
        <x:v>Frozen choice; form two nested rings per rotor with seams offset.</x:v>
      </x:c>
    </x:row>
    <x:row r="7" ht="46" customHeight="1">
      <x:c r="A7" s="76" t="n">
        <x:v>3</x:v>
      </x:c>
      <x:c r="B7" s="77" t="str">
        <x:v>Machined stock</x:v>
      </x:c>
      <x:c r="C7" s="77" t="str">
        <x:v>6061-T6 stock for three CNC parts</x:v>
      </x:c>
      <x:c r="D7" s="77" t="str">
        <x:v>Four stator carriers + four rotor end caps + four prop hubs</x:v>
      </x:c>
      <x:c r="E7" s="77" t="str">
        <x:v>lot</x:v>
      </x:c>
      <x:c r="F7" s="78" t="n">
        <x:v>1</x:v>
      </x:c>
      <x:c r="G7" s="78" t="n">
        <x:v>0</x:v>
      </x:c>
      <x:c r="H7" s="78" t="n">
        <x:f>1</x:f>
        <x:v>1</x:v>
      </x:c>
      <x:c r="I7" s="79" t="n">
        <x:f>ROUND('CNC Stock'!$J$14,0)</x:f>
        <x:v>921</x:v>
      </x:c>
      <x:c r="J7" s="80" t="n">
        <x:f>ROUND(H7*I7,0)</x:f>
        <x:v>921</x:v>
      </x:c>
      <x:c r="K7" s="77" t="str">
        <x:v>PROVISIONAL</x:v>
      </x:c>
      <x:c r="L7" s="77" t="str">
        <x:v>See CNC Stock sheet</x:v>
      </x:c>
      <x:c r="M7" s="81" t="str">
        <x:v>Material only; CNC labour excluded.</x:v>
      </x:c>
    </x:row>
    <x:row r="8" ht="46" customHeight="1">
      <x:c r="A8" s="76" t="n">
        <x:v>4</x:v>
      </x:c>
      <x:c r="B8" s="77" t="str">
        <x:v>Adhesive</x:v>
      </x:c>
      <x:c r="C8" s="77" t="str">
        <x:v>Lapox Ultra</x:v>
      </x:c>
      <x:c r="D8" s="77" t="str">
        <x:v>180 g two-part epoxy; general joints, magnet coupons and fillets</x:v>
      </x:c>
      <x:c r="E8" s="77" t="str">
        <x:v>kit</x:v>
      </x:c>
      <x:c r="F8" s="78" t="n">
        <x:v>1</x:v>
      </x:c>
      <x:c r="G8" s="78" t="n">
        <x:v>0</x:v>
      </x:c>
      <x:c r="H8" s="78" t="n">
        <x:v>1</x:v>
      </x:c>
      <x:c r="I8" s="79" t="n">
        <x:v>349</x:v>
      </x:c>
      <x:c r="J8" s="80" t="n">
        <x:f>ROUND(H8*I8,0)</x:f>
        <x:v>349</x:v>
      </x:c>
      <x:c r="K8" s="77" t="str">
        <x:v>BUY</x:v>
      </x:c>
      <x:c r="L8" s="77" t="str">
        <x:v>https://www.amazon.in/dp/B0B6C4BTZ2</x:v>
      </x:c>
      <x:c r="M8" s="81" t="str">
        <x:v>Use thin controlled bond lines and keyed/mechanical joints; coupon-test magnets first.</x:v>
      </x:c>
    </x:row>
    <x:row r="9" ht="46" customHeight="1">
      <x:c r="A9" s="76" t="n">
        <x:v>5</x:v>
      </x:c>
      <x:c r="B9" s="77" t="str">
        <x:v>Bearing</x:v>
      </x:c>
      <x:c r="C9" s="77" t="str">
        <x:v>608ZZ bearings</x:v>
      </x:c>
      <x:c r="D9" s="77" t="str">
        <x:v>8×22×7 mm, metal shielded</x:v>
      </x:c>
      <x:c r="E9" s="77" t="str">
        <x:v>piece</x:v>
      </x:c>
      <x:c r="F9" s="78" t="n">
        <x:v>8</x:v>
      </x:c>
      <x:c r="G9" s="78" t="n">
        <x:v>2</x:v>
      </x:c>
      <x:c r="H9" s="78" t="n">
        <x:v>10</x:v>
      </x:c>
      <x:c r="I9" s="79" t="n">
        <x:v>30</x:v>
      </x:c>
      <x:c r="J9" s="80" t="n">
        <x:f>ROUND(H9*I9,0)</x:f>
        <x:v>300</x:v>
      </x:c>
      <x:c r="K9" s="77" t="str">
        <x:v>PROVISIONAL</x:v>
      </x:c>
      <x:c r="L9" s="77" t="str">
        <x:v>https://www.amazon.in/dp/B01LXLWLFK</x:v>
      </x:c>
      <x:c r="M9" s="81" t="str">
        <x:v>Prototype stock only until speed/grease/runout are verified.</x:v>
      </x:c>
    </x:row>
    <x:row r="10" ht="46" customHeight="1">
      <x:c r="A10" s="76" t="n">
        <x:v>6</x:v>
      </x:c>
      <x:c r="B10" s="77" t="str">
        <x:v>Shaft</x:v>
      </x:c>
      <x:c r="C10" s="77" t="str">
        <x:v>Ground shaft stock</x:v>
      </x:c>
      <x:c r="D10" s="77" t="str">
        <x:v>8 mm diameter × 500 mm long</x:v>
      </x:c>
      <x:c r="E10" s="77" t="str">
        <x:v>rod</x:v>
      </x:c>
      <x:c r="F10" s="78" t="n">
        <x:v>1</x:v>
      </x:c>
      <x:c r="G10" s="78" t="n">
        <x:v>0</x:v>
      </x:c>
      <x:c r="H10" s="78" t="n">
        <x:v>1</x:v>
      </x:c>
      <x:c r="I10" s="79" t="n">
        <x:v>315</x:v>
      </x:c>
      <x:c r="J10" s="80" t="n">
        <x:f>ROUND(H10*I10,0)</x:f>
        <x:v>315</x:v>
      </x:c>
      <x:c r="K10" s="77" t="str">
        <x:v>BUY</x:v>
      </x:c>
      <x:c r="L10" s="77" t="str">
        <x:v>User retail quote</x:v>
      </x:c>
      <x:c r="M10" s="81" t="str">
        <x:v>One rod is sufficient for four shafts plus setup allowance; machining assumed free.</x:v>
      </x:c>
    </x:row>
    <x:row r="11" ht="46" customHeight="1">
      <x:c r="A11" s="76" t="n">
        <x:v>7</x:v>
      </x:c>
      <x:c r="B11" s="77" t="str">
        <x:v>Insulation</x:v>
      </x:c>
      <x:c r="C11" s="77" t="str">
        <x:v>Nomex sheet</x:v>
      </x:c>
      <x:c r="D11" s="77" t="str">
        <x:v>7 mil (0.178 mm), 900×300 mm</x:v>
      </x:c>
      <x:c r="E11" s="77" t="str">
        <x:v>sheet</x:v>
      </x:c>
      <x:c r="F11" s="78" t="n">
        <x:v>1</x:v>
      </x:c>
      <x:c r="G11" s="78" t="n">
        <x:v>1</x:v>
      </x:c>
      <x:c r="H11" s="78" t="n">
        <x:v>2</x:v>
      </x:c>
      <x:c r="I11" s="79" t="n">
        <x:v>270</x:v>
      </x:c>
      <x:c r="J11" s="80" t="n">
        <x:f>ROUND(H11*I11,0)</x:f>
        <x:v>540</x:v>
      </x:c>
      <x:c r="K11" s="77" t="str">
        <x:v>BUY</x:v>
      </x:c>
      <x:c r="L11" s="77" t="str">
        <x:v>https://www.amazon.in/dp/B09WKV41J1</x:v>
      </x:c>
      <x:c r="M11" s="81" t="str">
        <x:v>Second sheet covers forming trials, phase barriers and rejects.</x:v>
      </x:c>
    </x:row>
    <x:row r="12" ht="46" customHeight="1">
      <x:c r="A12" s="76" t="n">
        <x:v>8</x:v>
      </x:c>
      <x:c r="B12" s="77" t="str">
        <x:v>Winding</x:v>
      </x:c>
      <x:c r="C12" s="77" t="str">
        <x:v>Winding varnish</x:v>
      </x:c>
      <x:c r="D12" s="77" t="str">
        <x:v>ELANTAS V2603 or exact selected Class-H-compatible varnish; 1 L</x:v>
      </x:c>
      <x:c r="E12" s="77" t="str">
        <x:v>litre</x:v>
      </x:c>
      <x:c r="F12" s="78" t="n">
        <x:v>1</x:v>
      </x:c>
      <x:c r="G12" s="78" t="n">
        <x:v>0</x:v>
      </x:c>
      <x:c r="H12" s="78" t="n">
        <x:v>1</x:v>
      </x:c>
      <x:c r="I12" s="79" t="n">
        <x:v>1000</x:v>
      </x:c>
      <x:c r="J12" s="80" t="n">
        <x:f>ROUND(H12*I12,0)</x:f>
        <x:v>1000</x:v>
      </x:c>
      <x:c r="K12" s="77" t="str">
        <x:v>BUY</x:v>
      </x:c>
      <x:c r="L12" s="77" t="str">
        <x:v>User retail quote; VASK listing retained only as unapproved alternative</x:v>
      </x:c>
      <x:c r="M12" s="81" t="str">
        <x:v>Do not substitute electronic potting resin without exact thermal/electrical TDS.</x:v>
      </x:c>
    </x:row>
    <x:row r="13" ht="46" customHeight="1">
      <x:c r="A13" s="76" t="n">
        <x:v>9</x:v>
      </x:c>
      <x:c r="B13" s="77" t="str">
        <x:v>Sensor</x:v>
      </x:c>
      <x:c r="C13" s="77" t="str">
        <x:v>NTC thermistor</x:v>
      </x:c>
      <x:c r="D13" s="77" t="str">
        <x:v>10 kΩ; selected B-value; three per motor</x:v>
      </x:c>
      <x:c r="E13" s="77" t="str">
        <x:v>piece</x:v>
      </x:c>
      <x:c r="F13" s="78" t="n">
        <x:v>12</x:v>
      </x:c>
      <x:c r="G13" s="78" t="n">
        <x:v>4</x:v>
      </x:c>
      <x:c r="H13" s="78" t="n">
        <x:v>16</x:v>
      </x:c>
      <x:c r="I13" s="79" t="n">
        <x:v>6</x:v>
      </x:c>
      <x:c r="J13" s="80" t="n">
        <x:f>ROUND(H13*I13,0)</x:f>
        <x:v>96</x:v>
      </x:c>
      <x:c r="K13" s="77" t="str">
        <x:v>BUY</x:v>
      </x:c>
      <x:c r="L13" s="77" t="str">
        <x:v>User retail quote</x:v>
      </x:c>
      <x:c r="M13" s="81" t="str">
        <x:v>Calibrate and electrically isolate; four spares included.</x:v>
      </x:c>
    </x:row>
    <x:row r="14" ht="46" customHeight="1">
      <x:c r="A14" s="76" t="n">
        <x:v>10</x:v>
      </x:c>
      <x:c r="B14" s="77" t="str">
        <x:v>Sensor</x:v>
      </x:c>
      <x:c r="C14" s="77" t="str">
        <x:v>Hall-effect sensors</x:v>
      </x:c>
      <x:c r="D14" s="77" t="str">
        <x:v>Exact switch/interface part to be frozen; three per motor</x:v>
      </x:c>
      <x:c r="E14" s="77" t="str">
        <x:v>piece</x:v>
      </x:c>
      <x:c r="F14" s="78" t="n">
        <x:v>12</x:v>
      </x:c>
      <x:c r="G14" s="78" t="n">
        <x:v>3</x:v>
      </x:c>
      <x:c r="H14" s="78" t="n">
        <x:v>15</x:v>
      </x:c>
      <x:c r="I14" s="79" t="n">
        <x:v>62</x:v>
      </x:c>
      <x:c r="J14" s="80" t="n">
        <x:f>ROUND(H14*I14,0)</x:f>
        <x:v>930</x:v>
      </x:c>
      <x:c r="K14" s="77" t="str">
        <x:v>PROVISIONAL</x:v>
      </x:c>
      <x:c r="L14" s="77" t="str">
        <x:v>User retail quote</x:v>
      </x:c>
      <x:c r="M14" s="81" t="str">
        <x:v>Delete if final commutation is sensorless; verify voltage and magnetic polarity.</x:v>
      </x:c>
    </x:row>
    <x:row r="15" ht="46" customHeight="1">
      <x:c r="A15" s="76" t="n">
        <x:v>11</x:v>
      </x:c>
      <x:c r="B15" s="77" t="str">
        <x:v>Winding</x:v>
      </x:c>
      <x:c r="C15" s="77" t="str">
        <x:v>24 SWG magnet wire</x:v>
      </x:c>
      <x:c r="D15" s="77" t="str">
        <x:v>ART IFACT; 0.56 mm conductor; 50 m roll</x:v>
      </x:c>
      <x:c r="E15" s="77" t="str">
        <x:v>roll</x:v>
      </x:c>
      <x:c r="F15" s="78"/>
      <x:c r="G15" s="78"/>
      <x:c r="H15" s="78" t="n">
        <x:f>'Wire Estimate'!$G$12</x:f>
        <x:v>9</x:v>
      </x:c>
      <x:c r="I15" s="79" t="n">
        <x:v>596</x:v>
      </x:c>
      <x:c r="J15" s="80" t="n">
        <x:f>ROUND(H15*I15,0)</x:f>
        <x:v>5364</x:v>
      </x:c>
      <x:c r="K15" s="77" t="str">
        <x:v>PROVISIONAL</x:v>
      </x:c>
      <x:c r="L15" s="77" t="str">
        <x:v>https://www.amazon.in/dp/B07LCRM82G</x:v>
      </x:c>
      <x:c r="M15" s="81" t="str">
        <x:v>Recommended of the two linked sizes for bundle practicality; Class H is not verified.</x:v>
      </x:c>
    </x:row>
    <x:row r="16" ht="46" customHeight="1">
      <x:c r="A16" s="76" t="n">
        <x:v>12</x:v>
      </x:c>
      <x:c r="B16" s="77" t="str">
        <x:v>Composite</x:v>
      </x:c>
      <x:c r="C16" s="77" t="str">
        <x:v>UD carbon reinforcement</x:v>
      </x:c>
      <x:c r="D16" s="77" t="str">
        <x:v>12K UD carbon, approx. 300 gsm</x:v>
      </x:c>
      <x:c r="E16" s="77" t="str">
        <x:v>lot</x:v>
      </x:c>
      <x:c r="F16" s="78" t="n">
        <x:v>1</x:v>
      </x:c>
      <x:c r="G16" s="78" t="n">
        <x:v>0</x:v>
      </x:c>
      <x:c r="H16" s="78" t="n">
        <x:v>1</x:v>
      </x:c>
      <x:c r="I16" s="79" t="n">
        <x:v>0</x:v>
      </x:c>
      <x:c r="J16" s="80" t="n">
        <x:f>ROUND(H16*I16,0)</x:f>
        <x:v>0</x:v>
      </x:c>
      <x:c r="K16" s="77" t="str">
        <x:v>HOLD</x:v>
      </x:c>
      <x:c r="L16" s="77" t="str">
        <x:v>Retail source/price not frozen</x:v>
      </x:c>
      <x:c r="M16" s="81" t="str">
        <x:v>Primary circumferential hoop reinforcement; price intentionally blank.</x:v>
      </x:c>
    </x:row>
    <x:row r="17" ht="46" customHeight="1">
      <x:c r="A17" s="76" t="n">
        <x:v>13</x:v>
      </x:c>
      <x:c r="B17" s="77" t="str">
        <x:v>Composite</x:v>
      </x:c>
      <x:c r="C17" s="77" t="str">
        <x:v>Woven E-glass</x:v>
      </x:c>
      <x:c r="D17" s="77" t="str">
        <x:v>100–200 gsm; approx. 1 m²</x:v>
      </x:c>
      <x:c r="E17" s="77" t="str">
        <x:v>lot</x:v>
      </x:c>
      <x:c r="F17" s="78" t="n">
        <x:v>1</x:v>
      </x:c>
      <x:c r="G17" s="78" t="n">
        <x:v>0</x:v>
      </x:c>
      <x:c r="H17" s="78" t="n">
        <x:v>1</x:v>
      </x:c>
      <x:c r="I17" s="79" t="n">
        <x:v>0</x:v>
      </x:c>
      <x:c r="J17" s="80" t="n">
        <x:f>ROUND(H17*I17,0)</x:f>
        <x:v>0</x:v>
      </x:c>
      <x:c r="K17" s="77" t="str">
        <x:v>HOLD</x:v>
      </x:c>
      <x:c r="L17" s="77" t="str">
        <x:v>Retail source/price not frozen</x:v>
      </x:c>
      <x:c r="M17" s="81" t="str">
        <x:v>Inner galvanic isolation and outer protection plies.</x:v>
      </x:c>
    </x:row>
    <x:row r="18" ht="46" customHeight="1">
      <x:c r="A18" s="82" t="n">
        <x:v>14</x:v>
      </x:c>
      <x:c r="B18" s="83" t="str">
        <x:v>Stator core</x:v>
      </x:c>
      <x:c r="C18" s="83" t="str">
        <x:v>REES52 5010-750Kv donor motors</x:v>
      </x:c>
      <x:c r="D18" s="83" t="str">
        <x:v>Three 40.6×7.4 mm 12-slot stators per motor; 22.2 mm combined stack; retain custom 8-pole rotor</x:v>
      </x:c>
      <x:c r="E18" s="83" t="str">
        <x:v>motor</x:v>
      </x:c>
      <x:c r="F18" s="84" t="n">
        <x:v>12</x:v>
      </x:c>
      <x:c r="G18" s="84" t="n">
        <x:v>0</x:v>
      </x:c>
      <x:c r="H18" s="84" t="n">
        <x:v>12</x:v>
      </x:c>
      <x:c r="I18" s="85" t="n">
        <x:v>1399</x:v>
      </x:c>
      <x:c r="J18" s="86" t="n">
        <x:f>ROUND(H18*I18,0)</x:f>
        <x:v>16788</x:v>
      </x:c>
      <x:c r="K18" s="83" t="str">
        <x:v>BUY</x:v>
      </x:c>
      <x:c r="L18" s="83" t="str">
        <x:v>https://rees52.com/products/5010-750kv-brushless-motor-5010-750kv-high-torque-brushless-motor-for-drone-rs2931</x:v>
      </x:c>
      <x:c r="M18" s="87" t="str">
        <x:v>Twelve donors for four motors. Verify lamination thickness and align all three slot stacks before final winding.</x:v>
      </x:c>
    </x:row>
    <x:row r="19">
      <x:c r="A19" s="39" t="str">
        <x:v>Selected BOM subtotal</x:v>
      </x:c>
      <x:c r="B19" s="39" t="str">
        <x:v>Selected BOM subtotal</x:v>
      </x:c>
      <x:c r="C19" s="39" t="str">
        <x:v>Selected BOM subtotal</x:v>
      </x:c>
      <x:c r="D19" s="39" t="str">
        <x:v>Selected BOM subtotal</x:v>
      </x:c>
      <x:c r="E19" s="39" t="str">
        <x:v>Selected BOM subtotal</x:v>
      </x:c>
      <x:c r="F19" s="39" t="str">
        <x:v>Selected BOM subtotal</x:v>
      </x:c>
      <x:c r="G19" s="39" t="str">
        <x:v>Selected BOM subtotal</x:v>
      </x:c>
      <x:c r="H19" s="39" t="str">
        <x:v>Selected BOM subtotal</x:v>
      </x:c>
      <x:c r="I19" s="39" t="str">
        <x:v>Selected BOM subtotal</x:v>
      </x:c>
      <x:c r="J19" s="40" t="n">
        <x:f>ROUND(SUM(J5:J18),0)</x:f>
        <x:v>30143</x:v>
      </x:c>
    </x:row>
  </x:sheetData>
  <x:mergeCells>
    <x:mergeCell ref="A1:M1"/>
    <x:mergeCell ref="A2:M2"/>
    <x:mergeCell ref="A19:I19"/>
  </x:mergeCells>
  <x:conditionalFormatting sqref="K5:K18">
    <x:cfRule type="containsText" dxfId="0" priority="1" operator="containsText" text="BUY"/>
    <x:cfRule type="containsText" dxfId="1" priority="2" operator="containsText" text="PROVISIONAL"/>
    <x:cfRule type="containsText" dxfId="2" priority="3" operator="containsText" text="HOLD"/>
  </x:conditionalFormatting>
  <x:dataValidations count="1">
    <x:dataValidation type="list" sqref="K5:K18">
      <x:formula1>"BUY,PROVISIONAL,HOLD,REJECT"</x:formula1>
    </x:dataValidation>
  </x:dataValidations>
  <x:pageMargins left="0.7" right="0.7" top="0.75" bottom="0.75" header="0.3" footer="0.3"/>
  <x:legacyDrawing xmlns:r="http://schemas.openxmlformats.org/officeDocument/2006/relationships" r:id="Rc5cca05ec2474811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24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52" hidden="0" customWidth="1"/>
  </x:cols>
  <x:sheetData>
    <x:row r="1" ht="30" customHeight="1">
      <x:c r="A1" s="3" t="str">
        <x:v>6061-T6 Material Estimate — Three CNC Parts × Four Motors</x:v>
      </x:c>
      <x:c r="B1" s="3" t="str">
        <x:v>6061-T6 Material Estimate — Three CNC Parts × Four Motors</x:v>
      </x:c>
      <x:c r="C1" s="3" t="str">
        <x:v>6061-T6 Material Estimate — Three CNC Parts × Four Motors</x:v>
      </x:c>
      <x:c r="D1" s="3" t="str">
        <x:v>6061-T6 Material Estimate — Three CNC Parts × Four Motors</x:v>
      </x:c>
      <x:c r="E1" s="3" t="str">
        <x:v>6061-T6 Material Estimate — Three CNC Parts × Four Motors</x:v>
      </x:c>
      <x:c r="F1" s="3" t="str">
        <x:v>6061-T6 Material Estimate — Three CNC Parts × Four Motors</x:v>
      </x:c>
      <x:c r="G1" s="3" t="str">
        <x:v>6061-T6 Material Estimate — Three CNC Parts × Four Motors</x:v>
      </x:c>
      <x:c r="H1" s="3" t="str">
        <x:v>6061-T6 Material Estimate — Three CNC Parts × Four Motors</x:v>
      </x:c>
      <x:c r="I1" s="3" t="str">
        <x:v>6061-T6 Material Estimate — Three CNC Parts × Four Motors</x:v>
      </x:c>
      <x:c r="J1" s="3" t="str">
        <x:v>6061-T6 Material Estimate — Three CNC Parts × Four Motors</x:v>
      </x:c>
      <x:c r="K1" s="3" t="str">
        <x:v>6061-T6 Material Estimate — Three CNC Parts × Four Motors</x:v>
      </x:c>
    </x:row>
    <x:row r="3" ht="30" customHeight="1">
      <x:c r="A3" s="10" t="str">
        <x:v>Editable assumption</x:v>
      </x:c>
      <x:c r="B3" s="11" t="str">
        <x:v>Value</x:v>
      </x:c>
    </x:row>
    <x:row r="4">
      <x:c r="A4" t="str">
        <x:v>6061-T6 density, kg/m³</x:v>
      </x:c>
      <x:c r="B4" s="50" t="n">
        <x:v>2700</x:v>
      </x:c>
    </x:row>
    <x:row r="5">
      <x:c r="A5" t="str">
        <x:v>Retail/cut-piece price, INR/kg</x:v>
      </x:c>
      <x:c r="B5" s="50" t="n">
        <x:v>500</x:v>
      </x:c>
    </x:row>
    <x:row r="6">
      <x:c r="A6" t="str">
        <x:v>Saw/face allowance per blank, mm</x:v>
      </x:c>
      <x:c r="B6" s="50" t="n">
        <x:v>3</x:v>
      </x:c>
    </x:row>
    <x:row r="7">
      <x:c r="A7" t="str">
        <x:v>Procurement contingency</x:v>
      </x:c>
      <x:c r="B7" s="88" t="n">
        <x:v>0.15</x:v>
      </x:c>
    </x:row>
    <x:row r="9" ht="30" customHeight="1">
      <x:c r="A9" s="51" t="str">
        <x:v>Part</x:v>
      </x:c>
      <x:c r="B9" s="52" t="str">
        <x:v>Material</x:v>
      </x:c>
      <x:c r="C9" s="52" t="str">
        <x:v>Blank diameter mm</x:v>
      </x:c>
      <x:c r="D9" s="52" t="str">
        <x:v>Finished axial envelope mm</x:v>
      </x:c>
      <x:c r="E9" s="52" t="str">
        <x:v>Qty</x:v>
      </x:c>
      <x:c r="F9" s="52" t="str">
        <x:v>Cut length incl. saw mm</x:v>
      </x:c>
      <x:c r="G9" s="52" t="str">
        <x:v>Stock mass kg</x:v>
      </x:c>
      <x:c r="H9" s="52" t="str">
        <x:v>Base stock cost INR</x:v>
      </x:c>
      <x:c r="I9" s="52" t="str">
        <x:v>Cost with contingency INR</x:v>
      </x:c>
      <x:c r="J9" s="52" t="str">
        <x:v>Selected lot cost INR</x:v>
      </x:c>
      <x:c r="K9" s="53" t="str">
        <x:v>Planning note</x:v>
      </x:c>
    </x:row>
    <x:row r="10" ht="48" customHeight="1">
      <x:c r="A10" s="64" t="str">
        <x:v>Stator carrier</x:v>
      </x:c>
      <x:c r="B10" s="65" t="str">
        <x:v>6061-T6 round bar</x:v>
      </x:c>
      <x:c r="C10" s="97" t="n">
        <x:v>50</x:v>
      </x:c>
      <x:c r="D10" s="97" t="n">
        <x:v>32</x:v>
      </x:c>
      <x:c r="E10" s="97" t="n">
        <x:v>4</x:v>
      </x:c>
      <x:c r="F10" s="65" t="n">
        <x:f>E10*(D10+$B$6)</x:f>
        <x:v>140</x:v>
      </x:c>
      <x:c r="G10" s="98" t="n">
        <x:f>PI()*(C10/2000)^2*(F10/1000)*$B$4</x:f>
        <x:v>0.7422012644105888</x:v>
      </x:c>
      <x:c r="H10" s="68" t="n">
        <x:f>ROUND(G10*$B$5,0)</x:f>
        <x:v>371</x:v>
      </x:c>
      <x:c r="I10" s="68" t="n">
        <x:f>ROUND(H10*(1+$B$7),0)</x:f>
        <x:v>427</x:v>
      </x:c>
      <x:c r="J10" s="68" t="n">
        <x:f>I10</x:f>
        <x:v>427</x:v>
      </x:c>
      <x:c r="K10" s="69" t="str">
        <x:v>Planning blank only; bearing seat and duct geometry must come from corrected CAD.</x:v>
      </x:c>
    </x:row>
    <x:row r="11" ht="48" customHeight="1">
      <x:c r="A11" s="64" t="str">
        <x:v>Rotor end cap</x:v>
      </x:c>
      <x:c r="B11" s="65" t="str">
        <x:v>6061-T6 round bar</x:v>
      </x:c>
      <x:c r="C11" s="97" t="n">
        <x:v>65</x:v>
      </x:c>
      <x:c r="D11" s="97" t="n">
        <x:v>15</x:v>
      </x:c>
      <x:c r="E11" s="97" t="n">
        <x:v>4</x:v>
      </x:c>
      <x:c r="F11" s="65" t="n">
        <x:f>E11*(D11+$B$6)</x:f>
        <x:v>72</x:v>
      </x:c>
      <x:c r="G11" s="98" t="n">
        <x:f>PI()*(C11/2000)^2*(F11/1000)*$B$4</x:f>
        <x:v>0.6450789275248603</x:v>
      </x:c>
      <x:c r="H11" s="68" t="n">
        <x:f>ROUND(G11*$B$5,0)</x:f>
        <x:v>323</x:v>
      </x:c>
      <x:c r="I11" s="68" t="n">
        <x:f>ROUND(H11*(1+$B$7),0)</x:f>
        <x:v>371</x:v>
      </x:c>
      <x:c r="J11" s="68" t="n">
        <x:f>I11</x:f>
        <x:v>371</x:v>
      </x:c>
      <x:c r="K11" s="69" t="str">
        <x:v>65 mm stock gives machining allowance around the 62 mm motor envelope.</x:v>
      </x:c>
    </x:row>
    <x:row r="12" ht="48" customHeight="1">
      <x:c r="A12" s="64" t="str">
        <x:v>Prop hub / shaft adapter</x:v>
      </x:c>
      <x:c r="B12" s="65" t="str">
        <x:v>6061-T6 round bar</x:v>
      </x:c>
      <x:c r="C12" s="97" t="n">
        <x:v>30</x:v>
      </x:c>
      <x:c r="D12" s="97" t="n">
        <x:v>25</x:v>
      </x:c>
      <x:c r="E12" s="97" t="n">
        <x:v>4</x:v>
      </x:c>
      <x:c r="F12" s="65" t="n">
        <x:f>E12*(D12+$B$6)</x:f>
        <x:v>112</x:v>
      </x:c>
      <x:c r="G12" s="98" t="n">
        <x:f>PI()*(C12/2000)^2*(F12/1000)*$B$4</x:f>
        <x:v>0.2137539641502495</x:v>
      </x:c>
      <x:c r="H12" s="68" t="n">
        <x:f>ROUND(G12*$B$5,0)</x:f>
        <x:v>107</x:v>
      </x:c>
      <x:c r="I12" s="68" t="n">
        <x:f>ROUND(H12*(1+$B$7),0)</x:f>
        <x:v>123</x:v>
      </x:c>
      <x:c r="J12" s="68" t="n">
        <x:f>I12</x:f>
        <x:v>123</x:v>
      </x:c>
      <x:c r="K12" s="69" t="str">
        <x:v>Keep only if the final shaft/end-cap design uses a separate hub.</x:v>
      </x:c>
    </x:row>
    <x:row r="13">
      <x:c r="A13" s="54"/>
      <x:c r="B13" s="55"/>
      <x:c r="C13" s="55"/>
      <x:c r="D13" s="55"/>
      <x:c r="E13" s="55"/>
      <x:c r="F13" s="55"/>
      <x:c r="G13" s="92"/>
      <x:c r="H13" s="24"/>
      <x:c r="I13" s="24"/>
      <x:c r="J13" s="24"/>
      <x:c r="K13" s="15"/>
    </x:row>
    <x:row r="14">
      <x:c r="A14" s="93" t="str">
        <x:v>Totals</x:v>
      </x:c>
      <x:c r="B14" s="94" t="str">
        <x:v>Totals</x:v>
      </x:c>
      <x:c r="C14" s="94" t="str">
        <x:v>Totals</x:v>
      </x:c>
      <x:c r="D14" s="94" t="str">
        <x:v>Totals</x:v>
      </x:c>
      <x:c r="E14" s="94" t="str">
        <x:v>Totals</x:v>
      </x:c>
      <x:c r="F14" s="94" t="str">
        <x:v>Totals</x:v>
      </x:c>
      <x:c r="G14" s="95" t="n">
        <x:f>SUM(G10:G12)</x:f>
        <x:v>1.6010341560856984</x:v>
      </x:c>
      <x:c r="H14" s="96" t="n">
        <x:f>ROUND(SUM(H10:H12),0)</x:f>
        <x:v>801</x:v>
      </x:c>
      <x:c r="I14" s="96" t="n">
        <x:f>ROUND(SUM(I10:I12),0)</x:f>
        <x:v>921</x:v>
      </x:c>
      <x:c r="J14" s="96" t="n">
        <x:f>ROUND(SUM(J10:J12),0)</x:f>
        <x:v>921</x:v>
      </x:c>
      <x:c r="K14" s="63"/>
    </x:row>
    <x:row r="16">
      <x:c r="A16" s="44" t="str">
        <x:v>Suggested cut-stock order: Ø50 × 140 mm, Ø65 × 72 mm and Ø30 × 112 mm, all certified 6061-T6/T6511. These are estimates, not release dimensions.</x:v>
      </x:c>
      <x:c r="B16" s="44"/>
      <x:c r="C16" s="44"/>
      <x:c r="D16" s="44"/>
      <x:c r="E16" s="44"/>
      <x:c r="F16" s="44"/>
      <x:c r="G16" s="44"/>
      <x:c r="H16" s="44"/>
      <x:c r="I16" s="44"/>
      <x:c r="J16" s="44"/>
      <x:c r="K16" s="44"/>
    </x:row>
    <x:row r="17">
      <x:c r="A17" s="44" t="str">
        <x:v>Price basis is ₹500/kg, selected as a conservative small-cut retail assumption from current Indian 6061-T6 listings. Replace B5 with the vendor quote.</x:v>
      </x:c>
      <x:c r="B17" s="44"/>
      <x:c r="C17" s="44"/>
      <x:c r="D17" s="44"/>
      <x:c r="E17" s="44"/>
      <x:c r="F17" s="44"/>
      <x:c r="G17" s="44"/>
      <x:c r="H17" s="44"/>
      <x:c r="I17" s="44"/>
      <x:c r="J17" s="44"/>
      <x:c r="K17" s="44"/>
    </x:row>
    <x:row r="18">
      <x:c r="A18" s="44" t="str">
        <x:v>CNC labour, setup, tooling, inspection, anodizing and shipping are excluded.</x:v>
      </x:c>
      <x:c r="B18" s="44"/>
      <x:c r="C18" s="44"/>
      <x:c r="D18" s="44"/>
      <x:c r="E18" s="44"/>
      <x:c r="F18" s="44"/>
      <x:c r="G18" s="44"/>
      <x:c r="H18" s="44"/>
      <x:c r="I18" s="44"/>
      <x:c r="J18" s="44"/>
      <x:c r="K18" s="44"/>
    </x:row>
  </x:sheetData>
  <x:mergeCells>
    <x:mergeCell ref="A1:K1"/>
    <x:mergeCell ref="A14:F14"/>
    <x:mergeCell ref="A16:K16"/>
    <x:mergeCell ref="A17:K17"/>
    <x:mergeCell ref="A18:K18"/>
  </x:mergeCells>
  <x:pageMargins left="0.7" right="0.7" top="0.75" bottom="0.75" header="0.3" footer="0.3"/>
  <x:legacyDrawing xmlns:r="http://schemas.openxmlformats.org/officeDocument/2006/relationships" r:id="Rf426fa21abc64817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34" hidden="0" customWidth="1"/>
    <x:col min="10" max="10" width="44" hidden="0" customWidth="1"/>
  </x:cols>
  <x:sheetData>
    <x:row r="1" ht="30" customHeight="1">
      <x:c r="A1" s="3" t="str">
        <x:v>Magnet-Wire Stock Estimate — Editable Screening Model</x:v>
      </x:c>
      <x:c r="B1" s="3" t="str">
        <x:v>Magnet-Wire Stock Estimate — Editable Screening Model</x:v>
      </x:c>
      <x:c r="C1" s="3" t="str">
        <x:v>Magnet-Wire Stock Estimate — Editable Screening Model</x:v>
      </x:c>
      <x:c r="D1" s="3" t="str">
        <x:v>Magnet-Wire Stock Estimate — Editable Screening Model</x:v>
      </x:c>
      <x:c r="E1" s="3" t="str">
        <x:v>Magnet-Wire Stock Estimate — Editable Screening Model</x:v>
      </x:c>
      <x:c r="F1" s="3" t="str">
        <x:v>Magnet-Wire Stock Estimate — Editable Screening Model</x:v>
      </x:c>
      <x:c r="G1" s="3" t="str">
        <x:v>Magnet-Wire Stock Estimate — Editable Screening Model</x:v>
      </x:c>
      <x:c r="H1" s="3" t="str">
        <x:v>Magnet-Wire Stock Estimate — Editable Screening Model</x:v>
      </x:c>
      <x:c r="I1" s="3" t="str">
        <x:v>Magnet-Wire Stock Estimate — Editable Screening Model</x:v>
      </x:c>
      <x:c r="J1" s="3" t="str">
        <x:v>Magnet-Wire Stock Estimate — Editable Screening Model</x:v>
      </x:c>
    </x:row>
    <x:row r="3" ht="30" customHeight="1">
      <x:c r="A3" s="10" t="str">
        <x:v>Editable winding assumption</x:v>
      </x:c>
      <x:c r="B3" s="11" t="str">
        <x:v>Value</x:v>
      </x:c>
    </x:row>
    <x:row r="4">
      <x:c r="A4" t="str">
        <x:v>Motors</x:v>
      </x:c>
      <x:c r="B4" s="46" t="n">
        <x:v>4</x:v>
      </x:c>
    </x:row>
    <x:row r="5">
      <x:c r="A5" t="str">
        <x:v>Coils/teeth per motor</x:v>
      </x:c>
      <x:c r="B5" s="46" t="n">
        <x:v>12</x:v>
      </x:c>
    </x:row>
    <x:row r="6">
      <x:c r="A6" t="str">
        <x:v>Turns per coil</x:v>
      </x:c>
      <x:c r="B6" s="46" t="n">
        <x:v>4</x:v>
      </x:c>
    </x:row>
    <x:row r="7">
      <x:c r="A7" t="str">
        <x:v>Mean turn length, m</x:v>
      </x:c>
      <x:c r="B7" s="46" t="n">
        <x:v>0.075</x:v>
      </x:c>
    </x:row>
    <x:row r="8">
      <x:c r="A8" t="str">
        <x:v>Required copper area per turn bundle, mm²</x:v>
      </x:c>
      <x:c r="B8" s="46" t="n">
        <x:v>6</x:v>
      </x:c>
    </x:row>
    <x:row r="9">
      <x:c r="A9" t="str">
        <x:v>Manufacturing/waste allowance</x:v>
      </x:c>
      <x:c r="B9" s="88" t="n">
        <x:v>0.15</x:v>
      </x:c>
    </x:row>
    <x:row r="10">
      <x:c r="A10" t="str">
        <x:v>24 SWG conductor diameter, mm</x:v>
      </x:c>
      <x:c r="B10" s="46" t="n">
        <x:v>0.56</x:v>
      </x:c>
    </x:row>
    <x:row r="11">
      <x:c r="A11" t="str">
        <x:v>24 SWG roll length, m</x:v>
      </x:c>
      <x:c r="B11" s="46" t="n">
        <x:v>50</x:v>
      </x:c>
      <x:c r="G11" s="103" t="str">
        <x:v>Selected rolls</x:v>
      </x:c>
      <x:c r="H11" s="103" t="str">
        <x:v>Selected cost</x:v>
      </x:c>
    </x:row>
    <x:row r="12">
      <x:c r="A12" t="str">
        <x:v>24 SWG roll price, INR</x:v>
      </x:c>
      <x:c r="B12" s="46" t="n">
        <x:v>596</x:v>
      </x:c>
      <x:c r="G12" s="22" t="n">
        <x:f>G15</x:f>
        <x:v>9</x:v>
      </x:c>
      <x:c r="H12" s="21" t="n">
        <x:f>H15</x:f>
        <x:v>5364</x:v>
      </x:c>
    </x:row>
    <x:row r="14" ht="30" customHeight="1">
      <x:c r="A14" s="51" t="str">
        <x:v>Option</x:v>
      </x:c>
      <x:c r="B14" s="52" t="str">
        <x:v>Diameter mm</x:v>
      </x:c>
      <x:c r="C14" s="52" t="str">
        <x:v>Area/strand mm²</x:v>
      </x:c>
      <x:c r="D14" s="52" t="str">
        <x:v>Parallel strands</x:v>
      </x:c>
      <x:c r="E14" s="52" t="str">
        <x:v>Path length/motor m</x:v>
      </x:c>
      <x:c r="F14" s="52" t="str">
        <x:v>Total wire incl. waste m</x:v>
      </x:c>
      <x:c r="G14" s="52" t="str">
        <x:v>Rolls required</x:v>
      </x:c>
      <x:c r="H14" s="52" t="str">
        <x:v>Estimated cost INR</x:v>
      </x:c>
      <x:c r="I14" s="52" t="str">
        <x:v>Enamel evidence</x:v>
      </x:c>
      <x:c r="J14" s="53" t="str">
        <x:v>Disposition</x:v>
      </x:c>
    </x:row>
    <x:row r="15" ht="48" customHeight="1">
      <x:c r="A15" s="64" t="str">
        <x:v>24 SWG ART IFACT</x:v>
      </x:c>
      <x:c r="B15" s="108" t="n">
        <x:v>0.56</x:v>
      </x:c>
      <x:c r="C15" s="108" t="n">
        <x:f>PI()*(B15^2)/4</x:f>
        <x:v>0.2463008640414398</x:v>
      </x:c>
      <x:c r="D15" s="109" t="n">
        <x:f>CEILING($B$8/C15,1)</x:f>
        <x:v>25</x:v>
      </x:c>
      <x:c r="E15" s="108" t="n">
        <x:f>$B$5*$B$6*$B$7*D15</x:f>
        <x:v>89.99999999999999</x:v>
      </x:c>
      <x:c r="F15" s="108" t="n">
        <x:f>E15*$B$4*(1+$B$9)</x:f>
        <x:v>413.9999999999999</x:v>
      </x:c>
      <x:c r="G15" s="109" t="n">
        <x:f>CEILING(F15/$B$11,1)</x:f>
        <x:v>9</x:v>
      </x:c>
      <x:c r="H15" s="68" t="n">
        <x:f>G15*$B$12</x:f>
        <x:v>5364</x:v>
      </x:c>
      <x:c r="I15" s="65" t="str">
        <x:v>Modified polyurethane; thermal class not published</x:v>
      </x:c>
      <x:c r="J15" s="69" t="str">
        <x:v>Preferred geometry, HOLD for Class-H evidence</x:v>
      </x:c>
    </x:row>
    <x:row r="16" ht="48" customHeight="1">
      <x:c r="A16" s="70" t="str">
        <x:v>32 SWG ART IFACT</x:v>
      </x:c>
      <x:c r="B16" s="110" t="n">
        <x:v>0.27</x:v>
      </x:c>
      <x:c r="C16" s="110" t="n">
        <x:f>PI()*(B16^2)/4</x:f>
        <x:v>0.057255526111673984</x:v>
      </x:c>
      <x:c r="D16" s="111" t="n">
        <x:f>CEILING($B$8/C16,1)</x:f>
        <x:v>105</x:v>
      </x:c>
      <x:c r="E16" s="110" t="n">
        <x:f>$B$5*$B$6*$B$7*D16</x:f>
        <x:v>377.99999999999994</x:v>
      </x:c>
      <x:c r="F16" s="110" t="n">
        <x:f>E16*$B$4*(1+$B$9)</x:f>
        <x:v>1738.7999999999995</x:v>
      </x:c>
      <x:c r="G16" s="111" t="n">
        <x:f>CEILING(F16/100,1)</x:f>
        <x:v>18</x:v>
      </x:c>
      <x:c r="H16" s="74" t="n">
        <x:f>G16*524</x:f>
        <x:v>9432</x:v>
      </x:c>
      <x:c r="I16" s="71" t="str">
        <x:v>Modified polyurethane; thermal class not published</x:v>
      </x:c>
      <x:c r="J16" s="75" t="str">
        <x:v>Not preferred: excessive strand count and enamel fraction</x:v>
      </x:c>
    </x:row>
    <x:row r="18">
      <x:c r="A18" s="39" t="str">
        <x:v>Selected 24 SWG result</x:v>
      </x:c>
      <x:c r="B18" s="39"/>
      <x:c r="C18" s="39"/>
      <x:c r="D18" s="39"/>
      <x:c r="E18" s="39" t="str">
        <x:v>Total metres</x:v>
      </x:c>
      <x:c r="F18" s="100" t="n">
        <x:f>F15</x:f>
        <x:v>413.9999999999999</x:v>
      </x:c>
      <x:c r="G18" s="101" t="n">
        <x:f>G15</x:f>
        <x:v>9</x:v>
      </x:c>
      <x:c r="H18" s="40" t="n">
        <x:f>H15</x:f>
        <x:v>5364</x:v>
      </x:c>
      <x:c r="I18" s="39"/>
      <x:c r="J18" s="39"/>
    </x:row>
    <x:row r="20">
      <x:c r="A20" s="44" t="str">
        <x:v>This is a stock estimate, not a released winding. The assumed 4 turns, 75 mm mean turn length and 6 mm² copper bundle must be replaced by the corrected electromagnetic/slot-fill solution.</x:v>
      </x:c>
      <x:c r="B20" s="44"/>
      <x:c r="C20" s="44"/>
      <x:c r="D20" s="44"/>
      <x:c r="E20" s="44"/>
      <x:c r="F20" s="44"/>
      <x:c r="G20" s="44"/>
      <x:c r="H20" s="44"/>
      <x:c r="I20" s="44"/>
      <x:c r="J20" s="44"/>
    </x:row>
    <x:row r="21">
      <x:c r="A21" s="44" t="str">
        <x:v>The calculation currently yields a large parallel bundle. This is expected for a 60 A burst target; it also makes insulation thickness and termination repeatability critical.</x:v>
      </x:c>
      <x:c r="B21" s="44"/>
      <x:c r="C21" s="44"/>
      <x:c r="D21" s="44"/>
      <x:c r="E21" s="44"/>
      <x:c r="F21" s="44"/>
      <x:c r="G21" s="44"/>
      <x:c r="H21" s="44"/>
      <x:c r="I21" s="44"/>
      <x:c r="J21" s="44"/>
    </x:row>
    <x:row r="22">
      <x:c r="A22" s="44" t="str">
        <x:v>Do not buy all calculated rolls until one coil is wound, measured for mean turn length, weighed, checked for slot fit and resistance-tested.</x:v>
      </x:c>
      <x:c r="B22" s="44"/>
      <x:c r="C22" s="44"/>
      <x:c r="D22" s="44"/>
      <x:c r="E22" s="44"/>
      <x:c r="F22" s="44"/>
      <x:c r="G22" s="44"/>
      <x:c r="H22" s="44"/>
      <x:c r="I22" s="44"/>
      <x:c r="J22" s="44"/>
    </x:row>
    <x:row r="23">
      <x:c r="A23" s="44" t="str">
        <x:v>Both ART IFACT listings use SWG-style diameters in their text. Do not interpret the gauge number as AWG.</x:v>
      </x:c>
      <x:c r="B23" s="44"/>
      <x:c r="C23" s="44"/>
      <x:c r="D23" s="44"/>
      <x:c r="E23" s="44"/>
      <x:c r="F23" s="44"/>
      <x:c r="G23" s="44"/>
      <x:c r="H23" s="44"/>
      <x:c r="I23" s="44"/>
      <x:c r="J23" s="44"/>
    </x:row>
  </x:sheetData>
  <x:mergeCells>
    <x:mergeCell ref="A1:J1"/>
    <x:mergeCell ref="A20:J20"/>
    <x:mergeCell ref="A21:J21"/>
    <x:mergeCell ref="A22:J22"/>
    <x:mergeCell ref="A23:J23"/>
  </x:mergeCells>
  <x:pageMargins left="0.7" right="0.7" top="0.75" bottom="0.75" header="0.3" footer="0.3"/>
  <x:legacyDrawing xmlns:r="http://schemas.openxmlformats.org/officeDocument/2006/relationships" r:id="Rabcef7a8cd564ff7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22" hidden="0" customWidth="1"/>
    <x:col min="3" max="3" width="18" hidden="0" customWidth="1"/>
    <x:col min="4" max="4" width="27" hidden="0" customWidth="1"/>
    <x:col min="5" max="5" width="21" hidden="0" customWidth="1"/>
    <x:col min="6" max="6" width="21" hidden="0" customWidth="1"/>
    <x:col min="7" max="7" width="21" hidden="0" customWidth="1"/>
  </x:cols>
  <x:sheetData>
    <x:row r="1" ht="30" customHeight="1">
      <x:c r="A1" s="3" t="str">
        <x:v>Vacuum-Infusion Materials and Coverage — Four Rotors</x:v>
      </x:c>
      <x:c r="B1" s="3" t="str">
        <x:v>Vacuum-Infusion Materials and Coverage — Four Rotors</x:v>
      </x:c>
      <x:c r="C1" s="3" t="str">
        <x:v>Vacuum-Infusion Materials and Coverage — Four Rotors</x:v>
      </x:c>
      <x:c r="D1" s="3" t="str">
        <x:v>Vacuum-Infusion Materials and Coverage — Four Rotors</x:v>
      </x:c>
      <x:c r="E1" s="3" t="str">
        <x:v>Vacuum-Infusion Materials and Coverage — Four Rotors</x:v>
      </x:c>
      <x:c r="F1" s="3" t="str">
        <x:v>Vacuum-Infusion Materials and Coverage — Four Rotors</x:v>
      </x:c>
      <x:c r="G1" s="3" t="str">
        <x:v>Vacuum-Infusion Materials and Coverage — Four Rotors</x:v>
      </x:c>
    </x:row>
    <x:row r="3" ht="30" customHeight="1">
      <x:c r="A3" s="10" t="str">
        <x:v>Editable geometry/process assumption</x:v>
      </x:c>
      <x:c r="B3" s="11" t="str">
        <x:v>Value</x:v>
      </x:c>
      <x:c r="D3" s="51" t="str">
        <x:v>Material</x:v>
      </x:c>
      <x:c r="E3" s="52" t="str">
        <x:v>Required area incl. waste m²</x:v>
      </x:c>
      <x:c r="F3" s="52" t="str">
        <x:v>Purchased area m²</x:v>
      </x:c>
      <x:c r="G3" s="53" t="str">
        <x:v>Coverage multiple</x:v>
      </x:c>
    </x:row>
    <x:row r="4">
      <x:c r="A4" t="str">
        <x:v>Rotor outside diameter, m</x:v>
      </x:c>
      <x:c r="B4" s="112" t="n">
        <x:v>0.062</x:v>
      </x:c>
      <x:c r="D4" s="54" t="str">
        <x:v>400 gsm 12K UD carbon</x:v>
      </x:c>
      <x:c r="E4" s="92" t="n">
        <x:f>PI()*$B$4*$B$5*$B$6*$B$7*(1+$B$9)</x:f>
        <x:v>0.040513978860693974</x:v>
      </x:c>
      <x:c r="F4" s="92" t="n">
        <x:f>$B$10*$B$11</x:f>
        <x:v>0.5</x:v>
      </x:c>
      <x:c r="G4" s="119" t="n">
        <x:f>F4/E4</x:f>
        <x:v>12.341419284421164</x:v>
      </x:c>
    </x:row>
    <x:row r="5">
      <x:c r="A5" t="str">
        <x:v>Reinforced axial band, m</x:v>
      </x:c>
      <x:c r="B5" s="112" t="n">
        <x:v>0.02</x:v>
      </x:c>
      <x:c r="D5" s="58" t="str">
        <x:v>400 gsm UD glass</x:v>
      </x:c>
      <x:c r="E5" s="117" t="n">
        <x:f>PI()*$B$4*$B$5*$B$6*$B$8*(1+$B$9)</x:f>
        <x:v>0.040513978860693974</x:v>
      </x:c>
      <x:c r="F5" s="117" t="n">
        <x:f>1</x:f>
        <x:v>1</x:v>
      </x:c>
      <x:c r="G5" s="120" t="n">
        <x:f>F5/E5</x:f>
        <x:v>24.682838568842328</x:v>
      </x:c>
    </x:row>
    <x:row r="6">
      <x:c r="A6" t="str">
        <x:v>Rotor quantity</x:v>
      </x:c>
      <x:c r="B6" s="113" t="n">
        <x:v>4</x:v>
      </x:c>
    </x:row>
    <x:row r="7">
      <x:c r="A7" t="str">
        <x:v>UD-carbon hoop plies</x:v>
      </x:c>
      <x:c r="B7" s="113" t="n">
        <x:v>2</x:v>
      </x:c>
    </x:row>
    <x:row r="8">
      <x:c r="A8" t="str">
        <x:v>UD-glass isolation/protection plies</x:v>
      </x:c>
      <x:c r="B8" s="113" t="n">
        <x:v>2</x:v>
      </x:c>
    </x:row>
    <x:row r="9">
      <x:c r="A9" t="str">
        <x:v>Cutting/process waste</x:v>
      </x:c>
      <x:c r="B9" s="88" t="n">
        <x:v>0.3</x:v>
      </x:c>
    </x:row>
    <x:row r="10">
      <x:c r="A10" t="str">
        <x:v>Carbon fabric width, m</x:v>
      </x:c>
      <x:c r="B10" s="114" t="n">
        <x:v>0.5</x:v>
      </x:c>
    </x:row>
    <x:row r="11">
      <x:c r="A11" t="str">
        <x:v>Purchased linear length, m</x:v>
      </x:c>
      <x:c r="B11" s="114" t="n">
        <x:v>1</x:v>
      </x:c>
    </x:row>
    <x:row r="13" ht="30" customHeight="1">
      <x:c r="A13" s="51" t="str">
        <x:v>Cash item</x:v>
      </x:c>
      <x:c r="B13" s="52" t="str">
        <x:v>Observed pack/length</x:v>
      </x:c>
      <x:c r="C13" s="52" t="str">
        <x:v>Visible line price INR</x:v>
      </x:c>
      <x:c r="D13" s="52" t="str">
        <x:v>Included in ₹4,271 subtotal?</x:v>
      </x:c>
      <x:c r="E13" s="53" t="str">
        <x:v>Cash-flow value INR</x:v>
      </x:c>
    </x:row>
    <x:row r="14" ht="42" customHeight="1">
      <x:c r="A14" s="64" t="str">
        <x:v>Carbon Fiber India materials cart</x:v>
      </x:c>
      <x:c r="B14" s="65" t="str">
        <x:v>User-confirmed cart subtotal</x:v>
      </x:c>
      <x:c r="C14" s="68" t="n">
        <x:v>4271</x:v>
      </x:c>
      <x:c r="D14" s="65" t="str">
        <x:v>YES — controlling subtotal</x:v>
      </x:c>
      <x:c r="E14" s="123" t="n">
        <x:v>4271</x:v>
      </x:c>
    </x:row>
    <x:row r="15" ht="42" customHeight="1">
      <x:c r="A15" s="64" t="str">
        <x:v>Vacuum pump</x:v>
      </x:c>
      <x:c r="B15" s="65" t="str">
        <x:v>Reusable tooling</x:v>
      </x:c>
      <x:c r="C15" s="68" t="n">
        <x:v>6800</x:v>
      </x:c>
      <x:c r="D15" s="65" t="str">
        <x:v>NO</x:v>
      </x:c>
      <x:c r="E15" s="123" t="n">
        <x:f>C15</x:f>
        <x:v>6800</x:v>
      </x:c>
    </x:row>
    <x:row r="16" ht="42" customHeight="1">
      <x:c r="A16" s="64" t="str">
        <x:v>400 gsm UD glass</x:v>
      </x:c>
      <x:c r="B16" s="65" t="str">
        <x:v>1,000 mm wide; listing appears per 1 m²</x:v>
      </x:c>
      <x:c r="C16" s="68" t="n">
        <x:v>330</x:v>
      </x:c>
      <x:c r="D16" s="65" t="str">
        <x:v>YES — shown inside cart</x:v>
      </x:c>
      <x:c r="E16" s="123" t="n">
        <x:v>0</x:v>
      </x:c>
    </x:row>
    <x:row r="17" ht="42" customHeight="1">
      <x:c r="A17" s="64" t="str">
        <x:v>LY556 + HY951</x:v>
      </x:c>
      <x:c r="B17" s="65" t="str">
        <x:v>Listing says per kg; exact resin/hardener split must be confirmed</x:v>
      </x:c>
      <x:c r="C17" s="68" t="n">
        <x:v>920</x:v>
      </x:c>
      <x:c r="D17" s="65" t="str">
        <x:v>YES — shown inside cart</x:v>
      </x:c>
      <x:c r="E17" s="123" t="n">
        <x:v>0</x:v>
      </x:c>
    </x:row>
    <x:row r="18" ht="42" customHeight="1">
      <x:c r="A18" s="70" t="str">
        <x:v>400 gsm 12K UD carbon</x:v>
      </x:c>
      <x:c r="B18" s="71" t="str">
        <x:v>500 mm wide × apparently 1 linear metre</x:v>
      </x:c>
      <x:c r="C18" s="74" t="n">
        <x:v>930</x:v>
      </x:c>
      <x:c r="D18" s="71" t="str">
        <x:v>YES — shown inside cart</x:v>
      </x:c>
      <x:c r="E18" s="124" t="n">
        <x:v>0</x:v>
      </x:c>
    </x:row>
    <x:row r="19">
      <x:c r="E19" s="21"/>
    </x:row>
    <x:row r="20">
      <x:c r="A20" s="39" t="str">
        <x:v>Immediate cash outlay (confirmed materials subtotal + pump)</x:v>
      </x:c>
      <x:c r="B20" s="39" t="str">
        <x:v>Immediate cash outlay (confirmed materials subtotal + pump)</x:v>
      </x:c>
      <x:c r="C20" s="39" t="str">
        <x:v>Immediate cash outlay (confirmed materials subtotal + pump)</x:v>
      </x:c>
      <x:c r="D20" s="39" t="str">
        <x:v>Immediate cash outlay (confirmed materials subtotal + pump)</x:v>
      </x:c>
      <x:c r="E20" s="40" t="n">
        <x:f>SUM(E14:E18)</x:f>
        <x:v>11071</x:v>
      </x:c>
    </x:row>
    <x:row r="22" ht="38" customHeight="1">
      <x:c r="A22" s="45" t="str">
        <x:v>Quantity result: one 500 mm × 1 m carbon cut supplies about 0.500 m²; the four-rotor, two-carbon-ply estimate uses about 0.041 m² including 30% waste, so nominal area coverage is about 12.3×.</x:v>
      </x:c>
      <x:c r="B22" s="45"/>
      <x:c r="C22" s="45"/>
      <x:c r="D22" s="45"/>
      <x:c r="E22" s="45"/>
      <x:c r="F22" s="45"/>
      <x:c r="G22" s="45"/>
    </x:row>
    <x:row r="23" ht="38" customHeight="1">
      <x:c r="A23" s="45" t="str">
        <x:v>One square metre of 400 gsm UD glass supplies about 24.7× the calculated two-ply requirement. One unit is ample for the four rotors and trials.</x:v>
      </x:c>
      <x:c r="B23" s="45"/>
      <x:c r="C23" s="45"/>
      <x:c r="D23" s="45"/>
      <x:c r="E23" s="45"/>
      <x:c r="F23" s="45"/>
      <x:c r="G23" s="45"/>
    </x:row>
    <x:row r="24" ht="38" customHeight="1">
      <x:c r="A24" s="45" t="str">
        <x:v>A 1 kg LY556/HY951 kit is far more resin than the laminate fibre mass requires, but line/cup waste and trial panels dominate at this scale. Confirm the actual package split and mix ratio before ordering.</x:v>
      </x:c>
      <x:c r="B24" s="45"/>
      <x:c r="C24" s="45"/>
      <x:c r="D24" s="45"/>
      <x:c r="E24" s="45"/>
      <x:c r="F24" s="45"/>
      <x:c r="G24" s="45"/>
    </x:row>
    <x:row r="25" ht="38" customHeight="1">
      <x:c r="A25" s="45" t="str">
        <x:v>Process and packaging gate: the vendor mentions RTM but publishes no trustworthy mixed-viscosity/pot-life table. Flow-test first. Two nominal 0.38 mm carbon plies plus two glass plies may add roughly 2.5–3.5 mm to diameter; confirm on a cured coupon before freezing pre-wrap OD.</x:v>
      </x:c>
      <x:c r="B25" s="45"/>
      <x:c r="C25" s="45"/>
      <x:c r="D25" s="45"/>
      <x:c r="E25" s="45"/>
      <x:c r="F25" s="45"/>
      <x:c r="G25" s="45"/>
    </x:row>
    <x:row r="27" ht="30" customHeight="1">
      <x:c r="A27" s="10" t="str">
        <x:v>Supplier product pages</x:v>
      </x:c>
      <x:c r="B27" s="20" t="str">
        <x:v>Supplier product pages</x:v>
      </x:c>
      <x:c r="C27" s="20" t="str">
        <x:v>Supplier product pages</x:v>
      </x:c>
      <x:c r="D27" s="20" t="str">
        <x:v>Supplier product pages</x:v>
      </x:c>
      <x:c r="E27" s="20" t="str">
        <x:v>Supplier product pages</x:v>
      </x:c>
      <x:c r="F27" s="20" t="str">
        <x:v>Supplier product pages</x:v>
      </x:c>
      <x:c r="G27" s="11" t="str">
        <x:v>Supplier product pages</x:v>
      </x:c>
    </x:row>
    <x:row r="28">
      <x:c r="A28" s="125" t="str">
        <x:v>UD carbon: https://carbonfiberindia.com/product/12k-carbon-fabric-unidirectional-400-gsm-width-500mm-mtr-2/</x:v>
      </x:c>
      <x:c r="B28" s="125"/>
      <x:c r="C28" s="125"/>
      <x:c r="D28" s="125"/>
      <x:c r="E28" s="125"/>
      <x:c r="F28" s="125"/>
      <x:c r="G28" s="125"/>
    </x:row>
    <x:row r="29">
      <x:c r="A29" s="125" t="str">
        <x:v>UD glass: https://carbonfiberindia.com/product/glass-fabric-ud-400-gsm-width-1000-mm-sqm/</x:v>
      </x:c>
      <x:c r="B29" s="125"/>
      <x:c r="C29" s="125"/>
      <x:c r="D29" s="125"/>
      <x:c r="E29" s="125"/>
      <x:c r="F29" s="125"/>
      <x:c r="G29" s="125"/>
    </x:row>
    <x:row r="30">
      <x:c r="A30" s="125" t="str">
        <x:v>Resin system: https://carbonfiberindia.com/product/araldite-ly556-aradur-hy951-kg/</x:v>
      </x:c>
      <x:c r="B30" s="125"/>
      <x:c r="C30" s="125"/>
      <x:c r="D30" s="125"/>
      <x:c r="E30" s="125"/>
      <x:c r="F30" s="125"/>
      <x:c r="G30" s="125"/>
    </x:row>
  </x:sheetData>
  <x:mergeCells>
    <x:mergeCell ref="A1:G1"/>
    <x:mergeCell ref="A20:D20"/>
    <x:mergeCell ref="A22:G22"/>
    <x:mergeCell ref="A23:G23"/>
    <x:mergeCell ref="A24:G24"/>
    <x:mergeCell ref="A25:G25"/>
    <x:mergeCell ref="A27:G27"/>
    <x:mergeCell ref="A28:G28"/>
    <x:mergeCell ref="A29:G29"/>
    <x:mergeCell ref="A30:G30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56" hidden="0" customWidth="1"/>
    <x:col min="3" max="3" width="48" hidden="0" customWidth="1"/>
    <x:col min="4" max="4" width="24" hidden="0" customWidth="1"/>
    <x:col min="5" max="5" width="16" hidden="0" customWidth="1"/>
    <x:col min="6" max="6" width="52" hidden="0" customWidth="1"/>
  </x:cols>
  <x:sheetData>
    <x:row r="1" ht="30" customHeight="1">
      <x:c r="A1" s="3" t="str">
        <x:v>Sources, Product Identity Checks and Acceptance Gates</x:v>
      </x:c>
      <x:c r="B1" s="3" t="str">
        <x:v>Sources, Product Identity Checks and Acceptance Gates</x:v>
      </x:c>
      <x:c r="C1" s="3" t="str">
        <x:v>Sources, Product Identity Checks and Acceptance Gates</x:v>
      </x:c>
      <x:c r="D1" s="3" t="str">
        <x:v>Sources, Product Identity Checks and Acceptance Gates</x:v>
      </x:c>
      <x:c r="E1" s="3" t="str">
        <x:v>Sources, Product Identity Checks and Acceptance Gates</x:v>
      </x:c>
      <x:c r="F1" s="3" t="str">
        <x:v>Sources, Product Identity Checks and Acceptance Gates</x:v>
      </x:c>
    </x:row>
    <x:row r="3" ht="30" customHeight="1">
      <x:c r="A3" s="51" t="str">
        <x:v>Item</x:v>
      </x:c>
      <x:c r="B3" s="52" t="str">
        <x:v>URL</x:v>
      </x:c>
      <x:c r="C3" s="52" t="str">
        <x:v>Observed listing/specification</x:v>
      </x:c>
      <x:c r="D3" s="52" t="str">
        <x:v>Workbook treatment</x:v>
      </x:c>
      <x:c r="E3" s="52" t="str">
        <x:v>Confidence</x:v>
      </x:c>
      <x:c r="F3" s="53" t="str">
        <x:v>Required action</x:v>
      </x:c>
    </x:row>
    <x:row r="4" ht="52" customHeight="1">
      <x:c r="A4" s="76" t="str">
        <x:v>24 SWG wire</x:v>
      </x:c>
      <x:c r="B4" s="77" t="str">
        <x:v>https://www.amazon.in/dp/B07LCRM82G</x:v>
      </x:c>
      <x:c r="C4" s="77" t="str">
        <x:v>50 m; 24 gauge/SWG; 0.56 mm; 99.9% copper; modified-polyurethane enamel</x:v>
      </x:c>
      <x:c r="D4" s="77" t="str">
        <x:v>Provisional selected wire</x:v>
      </x:c>
      <x:c r="E4" s="77" t="str">
        <x:v>Medium</x:v>
      </x:c>
      <x:c r="F4" s="81" t="str">
        <x:v>Obtain insulation thermal class, enamel build and measured spool mass/length.</x:v>
      </x:c>
    </x:row>
    <x:row r="5" ht="52" customHeight="1">
      <x:c r="A5" s="76" t="str">
        <x:v>32 SWG wire</x:v>
      </x:c>
      <x:c r="B5" s="77" t="str">
        <x:v>https://www.amazon.in/dp/B07KSVHYN1</x:v>
      </x:c>
      <x:c r="C5" s="77" t="str">
        <x:v>100 m; 32 gauge/SWG; 0.27 mm; 99.9% copper; modified-polyurethane enamel</x:v>
      </x:c>
      <x:c r="D5" s="77" t="str">
        <x:v>Alternative only</x:v>
      </x:c>
      <x:c r="E5" s="77" t="str">
        <x:v>Medium</x:v>
      </x:c>
      <x:c r="F5" s="81" t="str">
        <x:v>Do not select unless slot-fill study benefits from very fine strands.</x:v>
      </x:c>
    </x:row>
    <x:row r="6" ht="52" customHeight="1">
      <x:c r="A6" s="76" t="str">
        <x:v>Linked magnet listing</x:v>
      </x:c>
      <x:c r="B6" s="77" t="str">
        <x:v>https://www.amazon.in/dp/B0CVS4KBZ6</x:v>
      </x:c>
      <x:c r="C6" s="77" t="str">
        <x:v>Advertised as ceramic/ferrite 20×10×2 mm</x:v>
      </x:c>
      <x:c r="D6" s="77" t="str">
        <x:v>REJECT</x:v>
      </x:c>
      <x:c r="E6" s="77" t="str">
        <x:v>High</x:v>
      </x:c>
      <x:c r="F6" s="81" t="str">
        <x:v>Buy the previously selected N42/N52 NdFeB magnets instead.</x:v>
      </x:c>
    </x:row>
    <x:row r="7" ht="52" customHeight="1">
      <x:c r="A7" s="76" t="str">
        <x:v>Alternate NdFeB retail lead</x:v>
      </x:c>
      <x:c r="B7" s="77" t="str">
        <x:v>https://www.magneticks.com/products/20-x-10-x-2mm-neodymium-block-magnets-pack-of-20-30-50-magneticks</x:v>
      </x:c>
      <x:c r="C7" s="77" t="str">
        <x:v>20×10×2 mm NdFeB; seller claims N52; pack options 20/30/50</x:v>
      </x:c>
      <x:c r="D7" s="77" t="str">
        <x:v>Possible verification source</x:v>
      </x:c>
      <x:c r="E7" s="77" t="str">
        <x:v>Medium</x:v>
      </x:c>
      <x:c r="F7" s="81" t="str">
        <x:v>Request Br/Hcj evidence and thickness magnetization confirmation.</x:v>
      </x:c>
    </x:row>
    <x:row r="8" ht="52" customHeight="1">
      <x:c r="A8" s="76" t="str">
        <x:v>Mild-steel liner</x:v>
      </x:c>
      <x:c r="B8" s="77" t="str">
        <x:v>https://www.amazon.in/dp/B0F2NBWV58</x:v>
      </x:c>
      <x:c r="C8" s="77" t="str">
        <x:v>Cold-rolled mild-steel retail sheet; user fixed 0.5 mm liner</x:v>
      </x:c>
      <x:c r="D8" s="77" t="str">
        <x:v>BUY</x:v>
      </x:c>
      <x:c r="E8" s="77" t="str">
        <x:v>Medium</x:v>
      </x:c>
      <x:c r="F8" s="81" t="str">
        <x:v>Measure actual thickness and reject galvanized, warped or heavily scaled sheet.</x:v>
      </x:c>
    </x:row>
    <x:row r="9" ht="52" customHeight="1">
      <x:c r="A9" s="76" t="str">
        <x:v>Lapox Ultra</x:v>
      </x:c>
      <x:c r="B9" s="77" t="str">
        <x:v>https://www.amazon.in/dp/B0B6C4BTZ2</x:v>
      </x:c>
      <x:c r="C9" s="77" t="str">
        <x:v>180 g two-part modified epoxy; 100:80 mass ratio; approx. 30,000–35,000 cP</x:v>
      </x:c>
      <x:c r="D9" s="77" t="str">
        <x:v>BUY</x:v>
      </x:c>
      <x:c r="E9" s="77" t="str">
        <x:v>High</x:v>
      </x:c>
      <x:c r="F9" s="81" t="str">
        <x:v>Run magnet/steel and aluminium/composite coupons plus thermal cycles.</x:v>
      </x:c>
    </x:row>
    <x:row r="10" ht="52" customHeight="1">
      <x:c r="A10" s="76" t="str">
        <x:v>608ZZ bearing</x:v>
      </x:c>
      <x:c r="B10" s="77" t="str">
        <x:v>https://www.amazon.in/dp/B01LXLWLFK</x:v>
      </x:c>
      <x:c r="C10" s="77" t="str">
        <x:v>8×22×7 mm hobby/robotics bearing listing</x:v>
      </x:c>
      <x:c r="D10" s="77" t="str">
        <x:v>PROVISIONAL</x:v>
      </x:c>
      <x:c r="E10" s="77" t="str">
        <x:v>High identity / low suitability</x:v>
      </x:c>
      <x:c r="F10" s="81" t="str">
        <x:v>Require speed, grease, clearance and runout evidence or replace.</x:v>
      </x:c>
    </x:row>
    <x:row r="11" ht="52" customHeight="1">
      <x:c r="A11" s="76" t="str">
        <x:v>Nomex listing</x:v>
      </x:c>
      <x:c r="B11" s="77" t="str">
        <x:v>https://www.amazon.in/dp/B09WKV41J1</x:v>
      </x:c>
      <x:c r="C11" s="77" t="str">
        <x:v>Retail insulation sheet listing</x:v>
      </x:c>
      <x:c r="D11" s="77" t="str">
        <x:v>BUY with verification</x:v>
      </x:c>
      <x:c r="E11" s="77" t="str">
        <x:v>Medium</x:v>
      </x:c>
      <x:c r="F11" s="81" t="str">
        <x:v>Confirm genuine aramid paper, 7 mil thickness and temperature class.</x:v>
      </x:c>
    </x:row>
    <x:row r="12" ht="52" customHeight="1">
      <x:c r="A12" s="76" t="str">
        <x:v>VASK Electrofill</x:v>
      </x:c>
      <x:c r="B12" s="77" t="str">
        <x:v>https://www.amazon.in/dp/B0H3W1MSPK</x:v>
      </x:c>
      <x:c r="C12" s="77" t="str">
        <x:v>Electronic encapsulation/potting product; exact winding-varnish suitability not established</x:v>
      </x:c>
      <x:c r="D12" s="77" t="str">
        <x:v>Not selected</x:v>
      </x:c>
      <x:c r="E12" s="77" t="str">
        <x:v>Low</x:v>
      </x:c>
      <x:c r="F12" s="81" t="str">
        <x:v>Do not substitute for V2603 without full TDS and cure compatibility.</x:v>
      </x:c>
    </x:row>
    <x:row r="13" ht="52" customHeight="1">
      <x:c r="A13" s="76" t="str">
        <x:v>6061-T6 price basis</x:v>
      </x:c>
      <x:c r="B13" s="77" t="str">
        <x:v>https://www.tradeindia.com/products/aluminium-6061-t6-round-bar-c13037141.html</x:v>
      </x:c>
      <x:c r="C13" s="77" t="str">
        <x:v>Current Indian listing around ₹500/kg</x:v>
      </x:c>
      <x:c r="D13" s="77" t="str">
        <x:v>Planning input</x:v>
      </x:c>
      <x:c r="E13" s="77" t="str">
        <x:v>Medium</x:v>
      </x:c>
      <x:c r="F13" s="81" t="str">
        <x:v>Replace with cut-piece delivered quotation.</x:v>
      </x:c>
    </x:row>
    <x:row r="14" ht="52" customHeight="1">
      <x:c r="A14" s="76" t="str">
        <x:v>6061-T6 lower benchmark</x:v>
      </x:c>
      <x:c r="B14" s="77" t="str">
        <x:v>https://www.sachinsteelcentre.in/stainless-steel-round-bars.html</x:v>
      </x:c>
      <x:c r="C14" s="77" t="str">
        <x:v>Current listing around ₹349/kg</x:v>
      </x:c>
      <x:c r="D14" s="77" t="str">
        <x:v>Reference only</x:v>
      </x:c>
      <x:c r="E14" s="77" t="str">
        <x:v>Medium</x:v>
      </x:c>
      <x:c r="F14" s="81" t="str">
        <x:v>Small cut pieces may cost more than bulk rate.</x:v>
      </x:c>
    </x:row>
    <x:row r="15" ht="52" customHeight="1">
      <x:c r="A15" s="76" t="str">
        <x:v>Lapox technical data</x:v>
      </x:c>
      <x:c r="B15" s="77" t="str">
        <x:v>https://www.atul.co.in/wp-content/uploads/2017/05/PO_Lapox-Ultra-1.pdf</x:v>
      </x:c>
      <x:c r="C15" s="77" t="str">
        <x:v>Manufacturer product family and packaging data</x:v>
      </x:c>
      <x:c r="D15" s="77" t="str">
        <x:v>Supporting source</x:v>
      </x:c>
      <x:c r="E15" s="77" t="str">
        <x:v>High</x:v>
      </x:c>
      <x:c r="F15" s="81" t="str">
        <x:v>Follow current batch TDS/SDS.</x:v>
      </x:c>
    </x:row>
    <x:row r="16" ht="52" customHeight="1">
      <x:c r="A16" s="82" t="str">
        <x:v>Stator electrical steel</x:v>
      </x:c>
      <x:c r="B16" s="83" t="str">
        <x:v>Excluded</x:v>
      </x:c>
      <x:c r="C16" s="83" t="str">
        <x:v>CRNO/CRNGO sheets and lamination manufacture intentionally omitted</x:v>
      </x:c>
      <x:c r="D16" s="83" t="str">
        <x:v>Excluded</x:v>
      </x:c>
      <x:c r="E16" s="83" t="str">
        <x:v>High</x:v>
      </x:c>
      <x:c r="F16" s="87" t="str">
        <x:v>Add in a later revision after sourcing is frozen.</x:v>
      </x:c>
    </x:row>
  </x:sheetData>
  <x:mergeCells>
    <x:mergeCell ref="A1:F1"/>
  </x:mergeCells>
  <x:conditionalFormatting sqref="D4:D16">
    <x:cfRule type="containsText" dxfId="3" priority="1" operator="containsText" text="REJECT"/>
    <x:cfRule type="containsText" dxfId="4" priority="2" operator="containsText" text="BUY"/>
    <x:cfRule type="containsText" dxfId="5" priority="3" operator="containsText" text="PROVISIONAL"/>
  </x:conditionalFormatting>
  <x:pageMargins left="0.7" right="0.7" top="0.75" bottom="0.75" header="0.3" footer="0.3"/>
</x:worksheet>
</file>
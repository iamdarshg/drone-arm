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e5c904f4794c5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OM Detail" sheetId="1" r:id="R8610e19ca4c049ed"/>
    <x:sheet xmlns:r="http://schemas.openxmlformats.org/officeDocument/2006/relationships" name="Summary" sheetId="2" r:id="R790691b111084938"/>
    <x:sheet xmlns:r="http://schemas.openxmlformats.org/officeDocument/2006/relationships" name="Price Inputs" sheetId="3" r:id="R0b3c14bddfbe4070"/>
    <x:sheet xmlns:r="http://schemas.openxmlformats.org/officeDocument/2006/relationships" name="Cost Assumptions" sheetId="4" r:id="R28cb6914239946ee"/>
    <x:sheet xmlns:r="http://schemas.openxmlformats.org/officeDocument/2006/relationships" name="Optimizations" sheetId="5" r:id="Rb614f9baba044e4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₹#,##0.00"/>
    <x:numFmt numFmtId="201" formatCode="yyyy-mm-dd"/>
    <x:numFmt numFmtId="202" formatCode="0.00000"/>
    <x:numFmt numFmtId="203" formatCode="0.0%"/>
    <x:numFmt numFmtId="204" formatCode="₹#,##0"/>
    <x:numFmt numFmtId="205" formatCode="#,##0"/>
    <x:numFmt numFmtId="206" formatCode="0.0"/>
  </x:numFmts>
  <x:fonts count="11">
    <x:font>
      <x:sz val="11"/>
      <x:name val="Carlito"/>
    </x:font>
    <x:font>
      <x:b/>
      <x:sz val="16"/>
      <x:color rgb="FFFFFFFF"/>
      <x:name val="Carlito"/>
    </x:font>
    <x:font>
      <x:sz val="11"/>
      <x:color rgb="FF203040"/>
      <x:name val="Carlito"/>
    </x:font>
    <x:font>
      <x:b/>
      <x:sz val="11"/>
      <x:color rgb="FFFFFFFF"/>
      <x:name val="Carlito"/>
    </x:font>
    <x:font>
      <x:b/>
      <x:sz val="11"/>
      <x:color rgb="FF7A4D00"/>
      <x:name val="Carlito"/>
    </x:font>
    <x:font>
      <x:b/>
      <x:sz val="18"/>
      <x:color rgb="FFFFFFFF"/>
      <x:name val="Carlito"/>
    </x:font>
    <x:font>
      <x:b/>
      <x:sz val="11"/>
      <x:color rgb="FF135B50"/>
      <x:name val="Carlito"/>
    </x:font>
    <x:font>
      <x:b/>
      <x:sz val="12"/>
      <x:color rgb="FFFFFFFF"/>
      <x:name val="Carlito"/>
    </x:font>
    <x:font>
      <x:b/>
      <x:sz val="11"/>
      <x:color rgb="FF9B2C2C"/>
      <x:name val="Carlito"/>
    </x:font>
    <x:font>
      <x:sz val="11"/>
      <x:color rgb="FF7A2525"/>
      <x:name val="Carlito"/>
    </x:font>
    <x:font>
      <x:sz val="11"/>
      <x:color rgb="FF765000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2F8"/>
      </x:patternFill>
    </x:fill>
    <x:fill>
      <x:patternFill patternType="solid">
        <x:fgColor rgb="FF1F5A7A"/>
      </x:patternFill>
    </x:fill>
    <x:fill>
      <x:patternFill patternType="solid">
        <x:fgColor rgb="FFFFF4D6"/>
      </x:patternFill>
    </x:fill>
    <x:fill>
      <x:patternFill patternType="solid">
        <x:fgColor rgb="FFE8F5F3"/>
      </x:patternFill>
    </x:fill>
    <x:fill>
      <x:patternFill patternType="solid">
        <x:fgColor rgb="FF147D79"/>
      </x:patternFill>
    </x:fill>
    <x:fill>
      <x:patternFill patternType="solid">
        <x:fgColor rgb="FFFCE8E6"/>
      </x:patternFill>
    </x:fill>
    <x:fill>
      <x:patternFill patternType="solid">
        <x:fgColor rgb="FFFFF8F7"/>
      </x:patternFill>
    </x:fill>
  </x:fills>
  <x:borders count="44">
    <x:border/>
    <x:border/>
    <x:border>
      <x:bottom style="thin">
        <x:color rgb="FFC9D4DE"/>
      </x:bottom>
    </x:border>
    <x:border>
      <x:top style="thin">
        <x:color rgb="FFC9D4DE"/>
      </x:top>
      <x:bottom style="thin">
        <x:color rgb="FFC9D4DE"/>
      </x:bottom>
    </x:border>
    <x:border>
      <x:bottom style="thin">
        <x:color rgb="FFC9D4DE"/>
      </x:bottom>
    </x:border>
    <x:border>
      <x:top style="thin">
        <x:color rgb="FFC9D4DE"/>
      </x:top>
      <x:bottom style="thin">
        <x:color rgb="FFC9D4DE"/>
      </x:bottom>
    </x:border>
    <x:border>
      <x:bottom style="thin">
        <x:color rgb="FFE1E7EC"/>
      </x:bottom>
    </x:border>
    <x:border>
      <x:top style="thin">
        <x:color rgb="FFE1E7EC"/>
      </x:top>
      <x:bottom style="thin">
        <x:color rgb="FFE1E7EC"/>
      </x:bottom>
    </x:border>
    <x:border>
      <x:top style="thin">
        <x:color rgb="FFE1E7EC"/>
      </x:top>
      <x:bottom style="thin">
        <x:color rgb="FFC9D4DE"/>
      </x:bottom>
    </x:border>
    <x:border>
      <x:bottom style="thin">
        <x:color rgb="FFE1E7EC"/>
      </x:bottom>
    </x:border>
    <x:border>
      <x:top style="thin">
        <x:color rgb="FFE1E7EC"/>
      </x:top>
      <x:bottom style="thin">
        <x:color rgb="FFE1E7EC"/>
      </x:bottom>
    </x:border>
    <x:border>
      <x:top style="thin">
        <x:color rgb="FFE1E7EC"/>
      </x:top>
      <x:bottom style="thin">
        <x:color rgb="FFC9D4DE"/>
      </x:bottom>
    </x:border>
    <x:border>
      <x:left style="thin">
        <x:color rgb="FFC9D4DE"/>
      </x:left>
      <x:top style="thin">
        <x:color rgb="FFC9D4DE"/>
      </x:top>
    </x:border>
    <x:border>
      <x:top style="thin">
        <x:color rgb="FFC9D4DE"/>
      </x:top>
    </x:border>
    <x:border>
      <x:right style="thin">
        <x:color rgb="FFC9D4DE"/>
      </x:right>
      <x:top style="thin">
        <x:color rgb="FFC9D4DE"/>
      </x:top>
    </x:border>
    <x:border>
      <x:left style="thin">
        <x:color rgb="FFC9D4DE"/>
      </x:left>
    </x:border>
    <x:border>
      <x:right style="thin">
        <x:color rgb="FFC9D4DE"/>
      </x:right>
    </x:border>
    <x:border>
      <x:left style="thin">
        <x:color rgb="FFC9D4DE"/>
      </x:left>
      <x:bottom style="thin">
        <x:color rgb="FFC9D4DE"/>
      </x:bottom>
    </x:border>
    <x:border>
      <x:right style="thin">
        <x:color rgb="FFC9D4DE"/>
      </x:right>
      <x:bottom style="thin">
        <x:color rgb="FFC9D4DE"/>
      </x:bottom>
    </x:border>
    <x:border>
      <x:left style="thin">
        <x:color rgb="FFC9D4DE"/>
      </x:left>
      <x:top style="thin">
        <x:color rgb="FFC9D4DE"/>
      </x:top>
    </x:border>
    <x:border>
      <x:top style="thin">
        <x:color rgb="FFC9D4DE"/>
      </x:top>
    </x:border>
    <x:border>
      <x:right style="thin">
        <x:color rgb="FFC9D4DE"/>
      </x:right>
      <x:top style="thin">
        <x:color rgb="FFC9D4DE"/>
      </x:top>
    </x:border>
    <x:border>
      <x:left style="thin">
        <x:color rgb="FFC9D4DE"/>
      </x:left>
    </x:border>
    <x:border>
      <x:right style="thin">
        <x:color rgb="FFC9D4DE"/>
      </x:right>
    </x:border>
    <x:border>
      <x:left style="thin">
        <x:color rgb="FFC9D4DE"/>
      </x:left>
      <x:bottom style="thin">
        <x:color rgb="FFC9D4DE"/>
      </x:bottom>
    </x:border>
    <x:border>
      <x:right style="thin">
        <x:color rgb="FFC9D4DE"/>
      </x:right>
      <x:bottom style="thin">
        <x:color rgb="FFC9D4DE"/>
      </x:bottom>
    </x:border>
    <x:border>
      <x:bottom style="double">
        <x:color rgb="FF147D79"/>
      </x:bottom>
    </x:border>
    <x:border>
      <x:bottom style="double">
        <x:color rgb="FF147D79"/>
      </x:bottom>
    </x:border>
    <x:border>
      <x:left style="thin">
        <x:color rgb="FFE4A6A1"/>
      </x:left>
      <x:top style="thin">
        <x:color rgb="FFE4A6A1"/>
      </x:top>
    </x:border>
    <x:border>
      <x:top style="thin">
        <x:color rgb="FFE4A6A1"/>
      </x:top>
    </x:border>
    <x:border>
      <x:right style="thin">
        <x:color rgb="FFE4A6A1"/>
      </x:right>
      <x:top style="thin">
        <x:color rgb="FFE4A6A1"/>
      </x:top>
    </x:border>
    <x:border>
      <x:left style="thin">
        <x:color rgb="FFE4A6A1"/>
      </x:left>
    </x:border>
    <x:border>
      <x:right style="thin">
        <x:color rgb="FFE4A6A1"/>
      </x:right>
    </x:border>
    <x:border>
      <x:left style="thin">
        <x:color rgb="FFE4A6A1"/>
      </x:left>
      <x:bottom style="thin">
        <x:color rgb="FFE4A6A1"/>
      </x:bottom>
    </x:border>
    <x:border>
      <x:bottom style="thin">
        <x:color rgb="FFE4A6A1"/>
      </x:bottom>
    </x:border>
    <x:border>
      <x:right style="thin">
        <x:color rgb="FFE4A6A1"/>
      </x:right>
      <x:bottom style="thin">
        <x:color rgb="FFE4A6A1"/>
      </x:bottom>
    </x:border>
    <x:border>
      <x:left style="thin">
        <x:color rgb="FFE4A6A1"/>
      </x:left>
      <x:top style="thin">
        <x:color rgb="FFE4A6A1"/>
      </x:top>
    </x:border>
    <x:border>
      <x:top style="thin">
        <x:color rgb="FFE4A6A1"/>
      </x:top>
    </x:border>
    <x:border>
      <x:right style="thin">
        <x:color rgb="FFE4A6A1"/>
      </x:right>
      <x:top style="thin">
        <x:color rgb="FFE4A6A1"/>
      </x:top>
    </x:border>
    <x:border>
      <x:left style="thin">
        <x:color rgb="FFE4A6A1"/>
      </x:left>
    </x:border>
    <x:border>
      <x:right style="thin">
        <x:color rgb="FFE4A6A1"/>
      </x:right>
    </x:border>
    <x:border>
      <x:left style="thin">
        <x:color rgb="FFE4A6A1"/>
      </x:left>
      <x:bottom style="thin">
        <x:color rgb="FFE4A6A1"/>
      </x:bottom>
    </x:border>
    <x:border>
      <x:bottom style="thin">
        <x:color rgb="FFE4A6A1"/>
      </x:bottom>
    </x:border>
    <x:border>
      <x:right style="thin">
        <x:color rgb="FFE4A6A1"/>
      </x:right>
      <x:bottom style="thin">
        <x:color rgb="FFE4A6A1"/>
      </x:bottom>
    </x:border>
  </x:borders>
  <x:cellStyleXfs count="1">
    <x:xf numFmtId="0" fontId="0" fillId="0" borderId="0"/>
  </x:cellStyleXfs>
  <x:cellXfs count="15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/>
    <x:xf numFmtId="200" fontId="0" fillId="0" borderId="3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/>
    <x:xf numFmtId="200" fontId="0" fillId="0" borderId="5" xfId="0" applyNumberFormat="1" applyFont="1" applyFill="1" applyBorder="1"/>
    <x:xf numFmtId="0" fontId="0" fillId="0" borderId="3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3" fontId="0" fillId="0" borderId="0" xfId="0" applyNumberFormat="1" applyFont="1" applyFill="1" applyBorder="1" applyAlignment="1">
      <x:alignment wrapText="1"/>
    </x:xf>
    <x:xf numFmtId="203" fontId="0" fillId="0" borderId="1" xfId="0" applyNumberFormat="1" applyFont="1" applyFill="1" applyBorder="1" applyAlignment="1">
      <x:alignment wrapText="1"/>
    </x:xf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204" fontId="0" fillId="0" borderId="0" xfId="0" applyNumberFormat="1" applyFont="1" applyFill="1" applyBorder="1" applyAlignment="1">
      <x:alignment wrapText="1"/>
    </x:xf>
    <x:xf numFmtId="204" fontId="0" fillId="0" borderId="1" xfId="0" applyNumberFormat="1" applyFont="1" applyFill="1" applyBorder="1" applyAlignment="1">
      <x:alignment wrapText="1"/>
    </x:xf>
    <x:xf numFmtId="204" fontId="0" fillId="0" borderId="3" xfId="0" applyNumberFormat="1" applyFont="1" applyFill="1" applyBorder="1" applyAlignment="1">
      <x:alignment wrapText="1"/>
    </x:xf>
    <x:xf numFmtId="204" fontId="0" fillId="0" borderId="5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wrapText="1"/>
    </x:xf>
    <x:xf numFmtId="205" fontId="0" fillId="0" borderId="0" xfId="0" applyNumberFormat="1" applyFont="1" applyFill="1" applyBorder="1"/>
    <x:xf numFmtId="205" fontId="0" fillId="0" borderId="1" xfId="0" applyNumberFormat="1" applyFont="1" applyFill="1" applyBorder="1"/>
    <x:xf numFmtId="0" fontId="3" fillId="2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/>
    <x:xf numFmtId="205" fontId="0" fillId="0" borderId="7" xfId="0" applyNumberFormat="1" applyFont="1" applyFill="1" applyBorder="1"/>
    <x:xf numFmtId="200" fontId="0" fillId="0" borderId="7" xfId="0" applyNumberFormat="1" applyFont="1" applyFill="1" applyBorder="1"/>
    <x:xf numFmtId="0" fontId="0" fillId="0" borderId="8" xfId="0" applyNumberFormat="1" applyFont="1" applyFill="1" applyBorder="1"/>
    <x:xf numFmtId="205" fontId="0" fillId="0" borderId="8" xfId="0" applyNumberFormat="1" applyFont="1" applyFill="1" applyBorder="1"/>
    <x:xf numFmtId="200" fontId="0" fillId="0" borderId="8" xfId="0" applyNumberFormat="1" applyFont="1" applyFill="1" applyBorder="1"/>
    <x:xf numFmtId="0" fontId="3" fillId="2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/>
    <x:xf numFmtId="205" fontId="0" fillId="0" borderId="10" xfId="0" applyNumberFormat="1" applyFont="1" applyFill="1" applyBorder="1"/>
    <x:xf numFmtId="200" fontId="0" fillId="0" borderId="10" xfId="0" applyNumberFormat="1" applyFont="1" applyFill="1" applyBorder="1"/>
    <x:xf numFmtId="0" fontId="0" fillId="0" borderId="11" xfId="0" applyNumberFormat="1" applyFont="1" applyFill="1" applyBorder="1"/>
    <x:xf numFmtId="205" fontId="0" fillId="0" borderId="11" xfId="0" applyNumberFormat="1" applyFont="1" applyFill="1" applyBorder="1"/>
    <x:xf numFmtId="200" fontId="0" fillId="0" borderId="11" xfId="0" applyNumberFormat="1" applyFont="1" applyFill="1" applyBorder="1"/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0" fillId="6" borderId="0" xfId="0" applyNumberFormat="1" applyFont="1" applyFill="1" applyBorder="1"/>
    <x:xf numFmtId="204" fontId="0" fillId="6" borderId="0" xfId="0" applyNumberFormat="1" applyFont="1" applyFill="1" applyBorder="1"/>
    <x:xf numFmtId="0" fontId="0" fillId="6" borderId="1" xfId="0" applyNumberFormat="1" applyFont="1" applyFill="1" applyBorder="1"/>
    <x:xf numFmtId="204" fontId="0" fillId="6" borderId="1" xfId="0" applyNumberFormat="1" applyFont="1" applyFill="1" applyBorder="1"/>
    <x:xf numFmtId="0" fontId="6" fillId="6" borderId="0" xfId="0" applyNumberFormat="1" applyFont="1" applyFill="1" applyBorder="1"/>
    <x:xf numFmtId="204" fontId="6" fillId="6" borderId="0" xfId="0" applyNumberFormat="1" applyFont="1" applyFill="1" applyBorder="1"/>
    <x:xf numFmtId="0" fontId="6" fillId="6" borderId="1" xfId="0" applyNumberFormat="1" applyFont="1" applyFill="1" applyBorder="1"/>
    <x:xf numFmtId="204" fontId="6" fillId="6" borderId="1" xfId="0" applyNumberFormat="1" applyFont="1" applyFill="1" applyBorder="1"/>
    <x:xf numFmtId="0" fontId="3" fillId="4" borderId="12" xfId="0" applyNumberFormat="1" applyFont="1" applyFill="1" applyBorder="1"/>
    <x:xf numFmtId="0" fontId="3" fillId="4" borderId="13" xfId="0" applyNumberFormat="1" applyFont="1" applyFill="1" applyBorder="1"/>
    <x:xf numFmtId="0" fontId="3" fillId="4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6" fillId="6" borderId="17" xfId="0" applyNumberFormat="1" applyFont="1" applyFill="1" applyBorder="1"/>
    <x:xf numFmtId="204" fontId="6" fillId="6" borderId="2" xfId="0" applyNumberFormat="1" applyFont="1" applyFill="1" applyBorder="1"/>
    <x:xf numFmtId="0" fontId="6" fillId="6" borderId="18" xfId="0" applyNumberFormat="1" applyFont="1" applyFill="1" applyBorder="1"/>
    <x:xf numFmtId="0" fontId="3" fillId="4" borderId="19" xfId="0" applyNumberFormat="1" applyFont="1" applyFill="1" applyBorder="1"/>
    <x:xf numFmtId="0" fontId="3" fillId="4" borderId="20" xfId="0" applyNumberFormat="1" applyFont="1" applyFill="1" applyBorder="1"/>
    <x:xf numFmtId="0" fontId="3" fillId="4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0" fontId="6" fillId="6" borderId="24" xfId="0" applyNumberFormat="1" applyFont="1" applyFill="1" applyBorder="1"/>
    <x:xf numFmtId="204" fontId="6" fillId="6" borderId="4" xfId="0" applyNumberFormat="1" applyFont="1" applyFill="1" applyBorder="1"/>
    <x:xf numFmtId="0" fontId="6" fillId="6" borderId="25" xfId="0" applyNumberFormat="1" applyFont="1" applyFill="1" applyBorder="1"/>
    <x:xf numFmtId="0" fontId="0" fillId="7" borderId="0" xfId="0" applyNumberFormat="1" applyFont="1" applyFill="1" applyBorder="1"/>
    <x:xf numFmtId="204" fontId="0" fillId="7" borderId="0" xfId="0" applyNumberFormat="1" applyFont="1" applyFill="1" applyBorder="1"/>
    <x:xf numFmtId="0" fontId="0" fillId="7" borderId="1" xfId="0" applyNumberFormat="1" applyFont="1" applyFill="1" applyBorder="1"/>
    <x:xf numFmtId="204" fontId="0" fillId="7" borderId="1" xfId="0" applyNumberFormat="1" applyFont="1" applyFill="1" applyBorder="1"/>
    <x:xf numFmtId="0" fontId="7" fillId="7" borderId="0" xfId="0" applyNumberFormat="1" applyFont="1" applyFill="1" applyBorder="1"/>
    <x:xf numFmtId="204" fontId="7" fillId="7" borderId="0" xfId="0" applyNumberFormat="1" applyFont="1" applyFill="1" applyBorder="1"/>
    <x:xf numFmtId="0" fontId="7" fillId="7" borderId="1" xfId="0" applyNumberFormat="1" applyFont="1" applyFill="1" applyBorder="1"/>
    <x:xf numFmtId="204" fontId="7" fillId="7" borderId="1" xfId="0" applyNumberFormat="1" applyFont="1" applyFill="1" applyBorder="1"/>
    <x:xf numFmtId="0" fontId="7" fillId="7" borderId="26" xfId="0" applyNumberFormat="1" applyFont="1" applyFill="1" applyBorder="1"/>
    <x:xf numFmtId="204" fontId="7" fillId="7" borderId="26" xfId="0" applyNumberFormat="1" applyFont="1" applyFill="1" applyBorder="1"/>
    <x:xf numFmtId="0" fontId="7" fillId="7" borderId="27" xfId="0" applyNumberFormat="1" applyFont="1" applyFill="1" applyBorder="1"/>
    <x:xf numFmtId="204" fontId="7" fillId="7" borderId="27" xfId="0" applyNumberFormat="1" applyFont="1" applyFill="1" applyBorder="1"/>
    <x:xf numFmtId="204" fontId="0" fillId="0" borderId="16" xfId="0" applyNumberFormat="1" applyFont="1" applyFill="1" applyBorder="1"/>
    <x:xf numFmtId="0" fontId="7" fillId="7" borderId="17" xfId="0" applyNumberFormat="1" applyFont="1" applyFill="1" applyBorder="1"/>
    <x:xf numFmtId="204" fontId="7" fillId="7" borderId="2" xfId="0" applyNumberFormat="1" applyFont="1" applyFill="1" applyBorder="1"/>
    <x:xf numFmtId="204" fontId="7" fillId="7" borderId="18" xfId="0" applyNumberFormat="1" applyFont="1" applyFill="1" applyBorder="1"/>
    <x:xf numFmtId="204" fontId="0" fillId="0" borderId="23" xfId="0" applyNumberFormat="1" applyFont="1" applyFill="1" applyBorder="1"/>
    <x:xf numFmtId="0" fontId="7" fillId="7" borderId="24" xfId="0" applyNumberFormat="1" applyFont="1" applyFill="1" applyBorder="1"/>
    <x:xf numFmtId="204" fontId="7" fillId="7" borderId="4" xfId="0" applyNumberFormat="1" applyFont="1" applyFill="1" applyBorder="1"/>
    <x:xf numFmtId="204" fontId="7" fillId="7" borderId="25" xfId="0" applyNumberFormat="1" applyFont="1" applyFill="1" applyBorder="1"/>
    <x:xf numFmtId="206" fontId="0" fillId="0" borderId="0" xfId="0" applyNumberFormat="1" applyFont="1" applyFill="1" applyBorder="1"/>
    <x:xf numFmtId="206" fontId="0" fillId="0" borderId="1" xfId="0" applyNumberFormat="1" applyFont="1" applyFill="1" applyBorder="1"/>
    <x:xf numFmtId="0" fontId="0" fillId="0" borderId="17" xfId="0" applyNumberFormat="1" applyFont="1" applyFill="1" applyBorder="1"/>
    <x:xf numFmtId="201" fontId="0" fillId="0" borderId="2" xfId="0" applyNumberFormat="1" applyFont="1" applyFill="1" applyBorder="1"/>
    <x:xf numFmtId="0" fontId="0" fillId="0" borderId="18" xfId="0" applyNumberFormat="1" applyFont="1" applyFill="1" applyBorder="1"/>
    <x:xf numFmtId="0" fontId="0" fillId="0" borderId="24" xfId="0" applyNumberFormat="1" applyFont="1" applyFill="1" applyBorder="1"/>
    <x:xf numFmtId="201" fontId="0" fillId="0" borderId="4" xfId="0" applyNumberFormat="1" applyFont="1" applyFill="1" applyBorder="1"/>
    <x:xf numFmtId="0" fontId="0" fillId="0" borderId="25" xfId="0" applyNumberFormat="1" applyFont="1" applyFill="1" applyBorder="1"/>
    <x:xf numFmtId="0" fontId="0" fillId="8" borderId="0" xfId="0" applyNumberFormat="1" applyFont="1" applyFill="1" applyBorder="1"/>
    <x:xf numFmtId="0" fontId="0" fillId="8" borderId="1" xfId="0" applyNumberFormat="1" applyFont="1" applyFill="1" applyBorder="1"/>
    <x:xf numFmtId="0" fontId="8" fillId="8" borderId="0" xfId="0" applyNumberFormat="1" applyFont="1" applyFill="1" applyBorder="1"/>
    <x:xf numFmtId="0" fontId="8" fillId="8" borderId="1" xfId="0" applyNumberFormat="1" applyFont="1" applyFill="1" applyBorder="1"/>
    <x:xf numFmtId="0" fontId="0" fillId="9" borderId="0" xfId="0" applyNumberFormat="1" applyFont="1" applyFill="1" applyBorder="1"/>
    <x:xf numFmtId="0" fontId="0" fillId="9" borderId="1" xfId="0" applyNumberFormat="1" applyFont="1" applyFill="1" applyBorder="1"/>
    <x:xf numFmtId="0" fontId="9" fillId="9" borderId="0" xfId="0" applyNumberFormat="1" applyFont="1" applyFill="1" applyBorder="1"/>
    <x:xf numFmtId="0" fontId="9" fillId="9" borderId="1" xfId="0" applyNumberFormat="1" applyFont="1" applyFill="1" applyBorder="1"/>
    <x:xf numFmtId="0" fontId="9" fillId="9" borderId="0" xfId="0" applyNumberFormat="1" applyFont="1" applyFill="1" applyBorder="1" applyAlignment="1">
      <x:alignment wrapText="1"/>
    </x:xf>
    <x:xf numFmtId="0" fontId="9" fillId="9" borderId="1" xfId="0" applyNumberFormat="1" applyFont="1" applyFill="1" applyBorder="1" applyAlignment="1">
      <x:alignment wrapText="1"/>
    </x:xf>
    <x:xf numFmtId="0" fontId="8" fillId="8" borderId="28" xfId="0" applyNumberFormat="1" applyFont="1" applyFill="1" applyBorder="1"/>
    <x:xf numFmtId="0" fontId="8" fillId="8" borderId="29" xfId="0" applyNumberFormat="1" applyFont="1" applyFill="1" applyBorder="1"/>
    <x:xf numFmtId="0" fontId="8" fillId="8" borderId="30" xfId="0" applyNumberFormat="1" applyFont="1" applyFill="1" applyBorder="1"/>
    <x:xf numFmtId="0" fontId="9" fillId="9" borderId="31" xfId="0" applyNumberFormat="1" applyFont="1" applyFill="1" applyBorder="1" applyAlignment="1">
      <x:alignment wrapText="1"/>
    </x:xf>
    <x:xf numFmtId="0" fontId="9" fillId="9" borderId="32" xfId="0" applyNumberFormat="1" applyFont="1" applyFill="1" applyBorder="1" applyAlignment="1">
      <x:alignment wrapText="1"/>
    </x:xf>
    <x:xf numFmtId="0" fontId="9" fillId="9" borderId="33" xfId="0" applyNumberFormat="1" applyFont="1" applyFill="1" applyBorder="1" applyAlignment="1">
      <x:alignment wrapText="1"/>
    </x:xf>
    <x:xf numFmtId="0" fontId="9" fillId="9" borderId="34" xfId="0" applyNumberFormat="1" applyFont="1" applyFill="1" applyBorder="1" applyAlignment="1">
      <x:alignment wrapText="1"/>
    </x:xf>
    <x:xf numFmtId="0" fontId="9" fillId="9" borderId="35" xfId="0" applyNumberFormat="1" applyFont="1" applyFill="1" applyBorder="1" applyAlignment="1">
      <x:alignment wrapText="1"/>
    </x:xf>
    <x:xf numFmtId="0" fontId="8" fillId="8" borderId="36" xfId="0" applyNumberFormat="1" applyFont="1" applyFill="1" applyBorder="1"/>
    <x:xf numFmtId="0" fontId="8" fillId="8" borderId="37" xfId="0" applyNumberFormat="1" applyFont="1" applyFill="1" applyBorder="1"/>
    <x:xf numFmtId="0" fontId="8" fillId="8" borderId="38" xfId="0" applyNumberFormat="1" applyFont="1" applyFill="1" applyBorder="1"/>
    <x:xf numFmtId="0" fontId="9" fillId="9" borderId="39" xfId="0" applyNumberFormat="1" applyFont="1" applyFill="1" applyBorder="1" applyAlignment="1">
      <x:alignment wrapText="1"/>
    </x:xf>
    <x:xf numFmtId="0" fontId="9" fillId="9" borderId="40" xfId="0" applyNumberFormat="1" applyFont="1" applyFill="1" applyBorder="1" applyAlignment="1">
      <x:alignment wrapText="1"/>
    </x:xf>
    <x:xf numFmtId="0" fontId="9" fillId="9" borderId="41" xfId="0" applyNumberFormat="1" applyFont="1" applyFill="1" applyBorder="1" applyAlignment="1">
      <x:alignment wrapText="1"/>
    </x:xf>
    <x:xf numFmtId="0" fontId="9" fillId="9" borderId="42" xfId="0" applyNumberFormat="1" applyFont="1" applyFill="1" applyBorder="1" applyAlignment="1">
      <x:alignment wrapText="1"/>
    </x:xf>
    <x:xf numFmtId="0" fontId="9" fillId="9" borderId="43" xfId="0" applyNumberFormat="1" applyFont="1" applyFill="1" applyBorder="1" applyAlignment="1">
      <x:alignment wrapText="1"/>
    </x:xf>
    <x:xf numFmtId="0" fontId="10" fillId="5" borderId="0" xfId="0" applyNumberFormat="1" applyFont="1" applyFill="1" applyBorder="1"/>
    <x:xf numFmtId="0" fontId="10" fillId="5" borderId="1" xfId="0" applyNumberFormat="1" applyFont="1" applyFill="1" applyBorder="1"/>
    <x:xf numFmtId="0" fontId="10" fillId="5" borderId="0" xfId="0" applyNumberFormat="1" applyFont="1" applyFill="1" applyBorder="1" applyAlignment="1">
      <x:alignment wrapText="1"/>
    </x:xf>
    <x:xf numFmtId="0" fontId="10" fillId="5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/>
    <x:xf numFmtId="0" fontId="3" fillId="4" borderId="4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</x:cellXfs>
  <x:cellStyles count="1">
    <x:cellStyle name="Normal" xfId="0"/>
  </x:cellStyles>
  <x:dxfs count="6">
    <x:dxf>
      <x:font>
        <x:color rgb="FF146B55"/>
      </x:font>
      <x:fill>
        <x:patternFill patternType="solid">
          <x:bgColor rgb="FFE8F5F3"/>
        </x:patternFill>
      </x:fill>
    </x:dxf>
    <x:dxf>
      <x:font>
        <x:color rgb="FF8A5B00"/>
      </x:font>
      <x:fill>
        <x:patternFill patternType="solid">
          <x:bgColor rgb="FFFFF4D6"/>
        </x:patternFill>
      </x:fill>
    </x:dxf>
    <x:dxf>
      <x:font>
        <x:color rgb="FF146B55"/>
      </x:font>
      <x:fill>
        <x:patternFill patternType="solid">
          <x:bgColor rgb="FFE8F5F3"/>
        </x:patternFill>
      </x:fill>
    </x:dxf>
    <x:dxf>
      <x:font>
        <x:color rgb="FF8A5B00"/>
      </x:font>
      <x:fill>
        <x:patternFill patternType="solid">
          <x:bgColor rgb="FFFFF4D6"/>
        </x:patternFill>
      </x:fill>
    </x:dxf>
    <x:dxf>
      <x:font>
        <x:b/>
        <x:color rgb="FF146B55"/>
      </x:font>
      <x:fill>
        <x:patternFill patternType="solid">
          <x:bgColor rgb="FFE8F5F3"/>
        </x:patternFill>
      </x:fill>
    </x:dxf>
    <x:dxf>
      <x:font>
        <x:b/>
        <x:color rgb="FF8A5B00"/>
      </x:font>
      <x:fill>
        <x:patternFill patternType="solid">
          <x:bgColor rgb="FFFFF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bc583de4dfa4bab" /><Relationship Type="http://schemas.openxmlformats.org/officeDocument/2006/relationships/theme" Target="/xl/theme/theme1.xml" Id="R58cd5952c9634066" /><Relationship Type="http://schemas.openxmlformats.org/officeDocument/2006/relationships/sharedStrings" Target="/xl/sharedStrings.xml" Id="R4590eba7ca6d4c6d" /><Relationship Type="http://schemas.openxmlformats.org/officeDocument/2006/relationships/worksheet" Target="/xl/worksheets/sheet1.xml" Id="R8610e19ca4c049ed" /><Relationship Type="http://schemas.openxmlformats.org/officeDocument/2006/relationships/worksheet" Target="/xl/worksheets/sheet2.xml" Id="R790691b111084938" /><Relationship Type="http://schemas.openxmlformats.org/officeDocument/2006/relationships/worksheet" Target="/xl/worksheets/sheet3.xml" Id="R0b3c14bddfbe4070" /><Relationship Type="http://schemas.openxmlformats.org/officeDocument/2006/relationships/worksheet" Target="/xl/worksheets/sheet4.xml" Id="R28cb6914239946ee" /><Relationship Type="http://schemas.openxmlformats.org/officeDocument/2006/relationships/worksheet" Target="/xl/worksheets/sheet5.xml" Id="Rb614f9baba044e40" /><Relationship Type="http://schemas.microsoft.com/office/2017/10/relationships/person" Target="/xl/persons/person.xml" Id="R314b53b4677d400e" /></Relationships>
</file>

<file path=xl/persons/person.xml><?xml version="1.0" encoding="utf-8"?>
<xltc:personList xmlns:xltc="http://schemas.microsoft.com/office/spreadsheetml/2018/threadedcomments">
  <xltc:person displayName="Codex" id="{A91E90BD-48D8-4E60-994C-85DD944454CF}"/>
</xltc:personList>
</file>

<file path=xl/tables/table1.xml><?xml version="1.0" encoding="utf-8"?>
<x:table xmlns:x="http://schemas.openxmlformats.org/spreadsheetml/2006/main" id="2" name="RevBBomTable" displayName="RevBBomTable" ref="A1:M173" headerRowCount="1" totalsRowCount="0" totalsRowShown="0">
  <x:tableColumns count="13">
    <x:tableColumn id="1" name="Board"/>
    <x:tableColumn id="2" name="Manufacturer"/>
    <x:tableColumn id="3" name="MPN"/>
    <x:tableColumn id="4" name="Value"/>
    <x:tableColumn id="5" name="Footprint"/>
    <x:tableColumn id="6" name="Quantity"/>
    <x:tableColumn id="7" name="References"/>
    <x:tableColumn id="8" name="Pricing basis"/>
    <x:tableColumn id="9" name="Prototype unit INR"/>
    <x:tableColumn id="10" name="Prototype extended INR"/>
    <x:tableColumn id="11" name="10-set unit INR"/>
    <x:tableColumn id="12" name="10-set extended per set INR"/>
    <x:tableColumn id="13" name="Confidenc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" name="PriceInputsTable" displayName="PriceInputsTable" ref="A4:H139" headerRowCount="1" totalsRowCount="0" totalsRowShown="0">
  <x:tableColumns count="8">
    <x:tableColumn id="1" name="MPN / value"/>
    <x:tableColumn id="2" name="Manufacturer"/>
    <x:tableColumn id="3" name="Pricing basis"/>
    <x:tableColumn id="4" name="Prototype unit INR"/>
    <x:tableColumn id="5" name="10-set unit INR"/>
    <x:tableColumn id="6" name="Confidence"/>
    <x:tableColumn id="7" name="Source URL"/>
    <x:tableColumn id="8" name="No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OptimizationsTable" displayName="OptimizationsTable" ref="A3:F11" headerRowCount="1" totalsRowCount="0" totalsRowShown="0">
  <x:tableColumns count="6">
    <x:tableColumn id="1" name="Item"/>
    <x:tableColumn id="2" name="Decision"/>
    <x:tableColumn id="3" name="Cost effect"/>
    <x:tableColumn id="4" name="Electrical reason"/>
    <x:tableColumn id="5" name="Status"/>
    <x:tableColumn id="6" name="Next ac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3993981ab40477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4cb59aebfb6401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c9167005155f4e9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22" hidden="0" customWidth="1"/>
    <x:col min="3" max="3" width="29" hidden="0" customWidth="1"/>
    <x:col min="4" max="4" width="20" hidden="0" customWidth="1"/>
    <x:col min="5" max="5" width="42" hidden="0" customWidth="1"/>
    <x:col min="6" max="6" width="11" hidden="0" customWidth="1"/>
    <x:col min="7" max="7" width="55" hidden="0" customWidth="1"/>
    <x:col min="8" max="8" width="15" hidden="0" customWidth="1"/>
    <x:col min="9" max="9" width="17" hidden="0" customWidth="1"/>
    <x:col min="10" max="10" width="19" hidden="0" customWidth="1"/>
    <x:col min="11" max="11" width="17" hidden="0" customWidth="1"/>
    <x:col min="12" max="12" width="22" hidden="0" customWidth="1"/>
    <x:col min="13" max="13" width="18" hidden="0" customWidth="1"/>
  </x:cols>
  <x:sheetData>
    <x:row r="1" ht="15" hidden="0" customHeight="1">
      <x:c r="A1" s="58" t="str">
        <x:v>Board</x:v>
      </x:c>
      <x:c r="B1" s="58" t="str">
        <x:v>Manufacturer</x:v>
      </x:c>
      <x:c r="C1" s="58" t="str">
        <x:v>MPN</x:v>
      </x:c>
      <x:c r="D1" s="58" t="str">
        <x:v>Value</x:v>
      </x:c>
      <x:c r="E1" s="58" t="str">
        <x:v>Footprint</x:v>
      </x:c>
      <x:c r="F1" s="58" t="str">
        <x:v>Quantity</x:v>
      </x:c>
      <x:c r="G1" s="58" t="str">
        <x:v>References</x:v>
      </x:c>
      <x:c r="H1" s="58" t="str">
        <x:v>Pricing basis</x:v>
      </x:c>
      <x:c r="I1" s="58" t="str">
        <x:v>Prototype unit INR</x:v>
      </x:c>
      <x:c r="J1" s="58" t="str">
        <x:v>Prototype extended INR</x:v>
      </x:c>
      <x:c r="K1" s="58" t="str">
        <x:v>10-set unit INR</x:v>
      </x:c>
      <x:c r="L1" s="58" t="str">
        <x:v>10-set extended per set INR</x:v>
      </x:c>
      <x:c r="M1" s="58" t="str">
        <x:v>Confidence</x:v>
      </x:c>
    </x:row>
    <x:row r="2" ht="15" hidden="0" customHeight="1">
      <x:c r="A2" s="59" t="str">
        <x:v>ESC Rev-B</x:v>
      </x:c>
      <x:c r="B2" s="59" t="str">
        <x:v>Commodity / unspecified</x:v>
      </x:c>
      <x:c r="C2" s="59" t="str">
        <x:v>0 STAR</x:v>
      </x:c>
      <x:c r="D2" s="59" t="str">
        <x:v>0 STAR</x:v>
      </x:c>
      <x:c r="E2" s="59" t="str">
        <x:v>Resistor_SMD:R_1206_3216Metric</x:v>
      </x:c>
      <x:c r="F2" s="60" t="n">
        <x:v>1</x:v>
      </x:c>
      <x:c r="G2" s="59" t="str">
        <x:v>R704</x:v>
      </x:c>
      <x:c r="H2" s="59" t="str">
        <x:v>Allowance</x:v>
      </x:c>
      <x:c r="I2" s="61" t="n">
        <x:f>ROUND(SUMIF('Price Inputs'!$A$5:$A$139,C2,'Price Inputs'!$D$5:$D$139),2)</x:f>
        <x:v>1.2</x:v>
      </x:c>
      <x:c r="J2" s="61" t="n">
        <x:f>ROUND(F2*I2,2)</x:f>
        <x:v>1.2</x:v>
      </x:c>
      <x:c r="K2" s="61" t="n">
        <x:f>ROUND(SUMIF('Price Inputs'!$A$5:$A$139,C2,'Price Inputs'!$E$5:$E$139),2)</x:f>
        <x:v>0.45</x:v>
      </x:c>
      <x:c r="L2" s="61" t="n">
        <x:f>ROUND(F2*K2,2)</x:f>
        <x:v>0.45</x:v>
      </x:c>
      <x:c r="M2" s="59" t="str">
        <x:v>Estimate</x:v>
      </x:c>
    </x:row>
    <x:row r="3" ht="15" hidden="0" customHeight="1">
      <x:c r="A3" s="59" t="str">
        <x:v>ESC Rev-B</x:v>
      </x:c>
      <x:c r="B3" s="59" t="str">
        <x:v>Commodity / unspecified</x:v>
      </x:c>
      <x:c r="C3" s="59" t="str">
        <x:v>100k</x:v>
      </x:c>
      <x:c r="D3" s="59" t="str">
        <x:v>100k</x:v>
      </x:c>
      <x:c r="E3" s="59" t="str">
        <x:v>Resistor_SMD:R_0603_1608Metric</x:v>
      </x:c>
      <x:c r="F3" s="60" t="n">
        <x:v>67</x:v>
      </x:c>
      <x:c r="G3" s="59" t="str">
        <x:v>R1102, R1104, R1106, R1108, R1110, R1112, R1150, R1151, R1152, R1154, R1158, R1202, R1204, R1206, R1208, R1210, R1212, R1250, R1251, R1252, R1254, R1258, R1302, R1304, R1306, R1308, R1310, R1312, R1350, R1351, R1352, R1354, R1358, R1402, R1404, R1406, R1408, R1410, R1412, R1450, R1451, R1452, R1454, R1458, R1502, R1504, R1506, R1508, R1510, R1512, R1550, R1551, R1552, R1554, R1558, R1602, R1604, R1606, R1608, R1610, R1612, R1650, R1651, R1652, R1654, R1658, R231</x:v>
      </x:c>
      <x:c r="H3" s="59" t="str">
        <x:v>Allowance</x:v>
      </x:c>
      <x:c r="I3" s="61" t="n">
        <x:f>ROUND(SUMIF('Price Inputs'!$A$5:$A$139,C3,'Price Inputs'!$D$5:$D$139),2)</x:f>
        <x:v>1.2</x:v>
      </x:c>
      <x:c r="J3" s="61" t="n">
        <x:f>ROUND(F3*I3,2)</x:f>
        <x:v>80.4</x:v>
      </x:c>
      <x:c r="K3" s="61" t="n">
        <x:f>ROUND(SUMIF('Price Inputs'!$A$5:$A$139,C3,'Price Inputs'!$E$5:$E$139),2)</x:f>
        <x:v>0.45</x:v>
      </x:c>
      <x:c r="L3" s="61" t="n">
        <x:f>ROUND(F3*K3,2)</x:f>
        <x:v>30.15</x:v>
      </x:c>
      <x:c r="M3" s="59" t="str">
        <x:v>Estimate</x:v>
      </x:c>
    </x:row>
    <x:row r="4" ht="15" hidden="0" customHeight="1">
      <x:c r="A4" s="59" t="str">
        <x:v>ESC Rev-B</x:v>
      </x:c>
      <x:c r="B4" s="59" t="str">
        <x:v>Commodity / unspecified</x:v>
      </x:c>
      <x:c r="C4" s="59" t="str">
        <x:v>100n</x:v>
      </x:c>
      <x:c r="D4" s="59" t="str">
        <x:v>100n</x:v>
      </x:c>
      <x:c r="E4" s="59" t="str">
        <x:v>Capacitor_SMD:C_0603_1608Metric</x:v>
      </x:c>
      <x:c r="F4" s="60" t="n">
        <x:v>40</x:v>
      </x:c>
      <x:c r="G4" s="59" t="str">
        <x:v>C1161, C1164, C1165, C1175, C1176, C1177, C1261, C1264, C1265, C1275, C1276, C1277, C1361, C1364, C1365, C1375, C1376, C1377, C1461, C1464, C1465, C1475, C1476, C1477, C1561, C1564, C1565, C1575, C1576, C1577, C1661, C1664, C1665, C1675, C1676, C1677, C232, C233, C242, C243</x:v>
      </x:c>
      <x:c r="H4" s="59" t="str">
        <x:v>Allowance</x:v>
      </x:c>
      <x:c r="I4" s="61" t="n">
        <x:f>ROUND(SUMIF('Price Inputs'!$A$5:$A$139,C4,'Price Inputs'!$D$5:$D$139),2)</x:f>
        <x:v>1.8</x:v>
      </x:c>
      <x:c r="J4" s="61" t="n">
        <x:f>ROUND(F4*I4,2)</x:f>
        <x:v>72</x:v>
      </x:c>
      <x:c r="K4" s="61" t="n">
        <x:f>ROUND(SUMIF('Price Inputs'!$A$5:$A$139,C4,'Price Inputs'!$E$5:$E$139),2)</x:f>
        <x:v>0.7</x:v>
      </x:c>
      <x:c r="L4" s="61" t="n">
        <x:f>ROUND(F4*K4,2)</x:f>
        <x:v>28</x:v>
      </x:c>
      <x:c r="M4" s="59" t="str">
        <x:v>Estimate</x:v>
      </x:c>
    </x:row>
    <x:row r="5" ht="15" hidden="0" customHeight="1">
      <x:c r="A5" s="59" t="str">
        <x:v>ESC Rev-B</x:v>
      </x:c>
      <x:c r="B5" s="59" t="str">
        <x:v>Commodity / unspecified</x:v>
      </x:c>
      <x:c r="C5" s="59" t="str">
        <x:v>100n</x:v>
      </x:c>
      <x:c r="D5" s="59" t="str">
        <x:v>100n</x:v>
      </x:c>
      <x:c r="E5" s="59" t="str">
        <x:v>Capacitor_SMD:C_0402_1005Metric</x:v>
      </x:c>
      <x:c r="F5" s="60" t="n">
        <x:v>43</x:v>
      </x:c>
      <x:c r="G5" s="59" t="str">
        <x:v>C1167, C1168, C1169, C1170, C1172, C1267, C1268, C1269, C1270, C1272, C1367, C1368, C1369, C1370, C1372, C1467, C1468, C1469, C1470, C1472, C1567, C1568, C1569, C1570, C1572, C1667, C1668, C1669, C1670, C1672, C205, C206, C207, C208, C209, C210, C211, C212, C215, C216, C217, C218, C219</x:v>
      </x:c>
      <x:c r="H5" s="59" t="str">
        <x:v>Allowance</x:v>
      </x:c>
      <x:c r="I5" s="61" t="n">
        <x:f>ROUND(SUMIF('Price Inputs'!$A$5:$A$139,C5,'Price Inputs'!$D$5:$D$139),2)</x:f>
        <x:v>1.8</x:v>
      </x:c>
      <x:c r="J5" s="61" t="n">
        <x:f>ROUND(F5*I5,2)</x:f>
        <x:v>77.4</x:v>
      </x:c>
      <x:c r="K5" s="61" t="n">
        <x:f>ROUND(SUMIF('Price Inputs'!$A$5:$A$139,C5,'Price Inputs'!$E$5:$E$139),2)</x:f>
        <x:v>0.7</x:v>
      </x:c>
      <x:c r="L5" s="61" t="n">
        <x:f>ROUND(F5*K5,2)</x:f>
        <x:v>30.1</x:v>
      </x:c>
      <x:c r="M5" s="59" t="str">
        <x:v>Estimate</x:v>
      </x:c>
    </x:row>
    <x:row r="6" ht="15" hidden="0" customHeight="1">
      <x:c r="A6" s="59" t="str">
        <x:v>ESC Rev-B</x:v>
      </x:c>
      <x:c r="B6" s="59" t="str">
        <x:v>Commodity / unspecified</x:v>
      </x:c>
      <x:c r="C6" s="59" t="str">
        <x:v>100n 100V</x:v>
      </x:c>
      <x:c r="D6" s="59" t="str">
        <x:v>100n 100V</x:v>
      </x:c>
      <x:c r="E6" s="59" t="str">
        <x:v>Capacitor_SMD:C_0603_1608Metric</x:v>
      </x:c>
      <x:c r="F6" s="60" t="n">
        <x:v>6</x:v>
      </x:c>
      <x:c r="G6" s="59" t="str">
        <x:v>C1105, C1205, C1305, C1405, C1505, C1605</x:v>
      </x:c>
      <x:c r="H6" s="59" t="str">
        <x:v>Allowance</x:v>
      </x:c>
      <x:c r="I6" s="61" t="n">
        <x:f>ROUND(SUMIF('Price Inputs'!$A$5:$A$139,C6,'Price Inputs'!$D$5:$D$139),2)</x:f>
        <x:v>8</x:v>
      </x:c>
      <x:c r="J6" s="61" t="n">
        <x:f>ROUND(F6*I6,2)</x:f>
        <x:v>48</x:v>
      </x:c>
      <x:c r="K6" s="61" t="n">
        <x:f>ROUND(SUMIF('Price Inputs'!$A$5:$A$139,C6,'Price Inputs'!$E$5:$E$139),2)</x:f>
        <x:v>4</x:v>
      </x:c>
      <x:c r="L6" s="61" t="n">
        <x:f>ROUND(F6*K6,2)</x:f>
        <x:v>24</x:v>
      </x:c>
      <x:c r="M6" s="59" t="str">
        <x:v>Estimate</x:v>
      </x:c>
    </x:row>
    <x:row r="7" ht="15" hidden="0" customHeight="1">
      <x:c r="A7" s="59" t="str">
        <x:v>ESC Rev-B</x:v>
      </x:c>
      <x:c r="B7" s="59" t="str">
        <x:v>Commodity / unspecified</x:v>
      </x:c>
      <x:c r="C7" s="59" t="str">
        <x:v>100n 10V</x:v>
      </x:c>
      <x:c r="D7" s="59" t="str">
        <x:v>100n 10V</x:v>
      </x:c>
      <x:c r="E7" s="59" t="str">
        <x:v>Capacitor_SMD:C_0603_1608Metric</x:v>
      </x:c>
      <x:c r="F7" s="60" t="n">
        <x:v>6</x:v>
      </x:c>
      <x:c r="G7" s="59" t="str">
        <x:v>C1107, C1207, C1307, C1407, C1507, C1607</x:v>
      </x:c>
      <x:c r="H7" s="59" t="str">
        <x:v>Allowance</x:v>
      </x:c>
      <x:c r="I7" s="61" t="n">
        <x:f>ROUND(SUMIF('Price Inputs'!$A$5:$A$139,C7,'Price Inputs'!$D$5:$D$139),2)</x:f>
        <x:v>1.8</x:v>
      </x:c>
      <x:c r="J7" s="61" t="n">
        <x:f>ROUND(F7*I7,2)</x:f>
        <x:v>10.8</x:v>
      </x:c>
      <x:c r="K7" s="61" t="n">
        <x:f>ROUND(SUMIF('Price Inputs'!$A$5:$A$139,C7,'Price Inputs'!$E$5:$E$139),2)</x:f>
        <x:v>0.7</x:v>
      </x:c>
      <x:c r="L7" s="61" t="n">
        <x:f>ROUND(F7*K7,2)</x:f>
        <x:v>4.2</x:v>
      </x:c>
      <x:c r="M7" s="59" t="str">
        <x:v>Estimate</x:v>
      </x:c>
    </x:row>
    <x:row r="8" ht="15" hidden="0" customHeight="1">
      <x:c r="A8" s="59" t="str">
        <x:v>ESC Rev-B</x:v>
      </x:c>
      <x:c r="B8" s="59" t="str">
        <x:v>Commodity / unspecified</x:v>
      </x:c>
      <x:c r="C8" s="59" t="str">
        <x:v>10k</x:v>
      </x:c>
      <x:c r="D8" s="59" t="str">
        <x:v>10k</x:v>
      </x:c>
      <x:c r="E8" s="59" t="str">
        <x:v>Resistor_SMD:R_0603_1608Metric</x:v>
      </x:c>
      <x:c r="F8" s="60" t="n">
        <x:v>15</x:v>
      </x:c>
      <x:c r="G8" s="59" t="str">
        <x:v>R1153, R1156, R1253, R1256, R1353, R1356, R1453, R1456, R1553, R1556, R1653, R1656, R202, R240, R241</x:v>
      </x:c>
      <x:c r="H8" s="59" t="str">
        <x:v>Allowance</x:v>
      </x:c>
      <x:c r="I8" s="61" t="n">
        <x:f>ROUND(SUMIF('Price Inputs'!$A$5:$A$139,C8,'Price Inputs'!$D$5:$D$139),2)</x:f>
        <x:v>1.2</x:v>
      </x:c>
      <x:c r="J8" s="61" t="n">
        <x:f>ROUND(F8*I8,2)</x:f>
        <x:v>18</x:v>
      </x:c>
      <x:c r="K8" s="61" t="n">
        <x:f>ROUND(SUMIF('Price Inputs'!$A$5:$A$139,C8,'Price Inputs'!$E$5:$E$139),2)</x:f>
        <x:v>0.45</x:v>
      </x:c>
      <x:c r="L8" s="61" t="n">
        <x:f>ROUND(F8*K8,2)</x:f>
        <x:v>6.75</x:v>
      </x:c>
      <x:c r="M8" s="59" t="str">
        <x:v>Estimate</x:v>
      </x:c>
    </x:row>
    <x:row r="9" ht="15" hidden="0" customHeight="1">
      <x:c r="A9" s="59" t="str">
        <x:v>ESC Rev-B</x:v>
      </x:c>
      <x:c r="B9" s="59" t="str">
        <x:v>Commodity / unspecified</x:v>
      </x:c>
      <x:c r="C9" s="59" t="str">
        <x:v>10k 0.1%</x:v>
      </x:c>
      <x:c r="D9" s="59" t="str">
        <x:v>10k 0.1%</x:v>
      </x:c>
      <x:c r="E9" s="59" t="str">
        <x:v>Resistor_SMD:R_0603_1608Metric</x:v>
      </x:c>
      <x:c r="F9" s="60" t="n">
        <x:v>6</x:v>
      </x:c>
      <x:c r="G9" s="59" t="str">
        <x:v>R1145, R1245, R1345, R1445, R1545, R1645</x:v>
      </x:c>
      <x:c r="H9" s="59" t="str">
        <x:v>Allowance</x:v>
      </x:c>
      <x:c r="I9" s="61" t="n">
        <x:f>ROUND(SUMIF('Price Inputs'!$A$5:$A$139,C9,'Price Inputs'!$D$5:$D$139),2)</x:f>
        <x:v>3.5</x:v>
      </x:c>
      <x:c r="J9" s="61" t="n">
        <x:f>ROUND(F9*I9,2)</x:f>
        <x:v>21</x:v>
      </x:c>
      <x:c r="K9" s="61" t="n">
        <x:f>ROUND(SUMIF('Price Inputs'!$A$5:$A$139,C9,'Price Inputs'!$E$5:$E$139),2)</x:f>
        <x:v>1.2</x:v>
      </x:c>
      <x:c r="L9" s="61" t="n">
        <x:f>ROUND(F9*K9,2)</x:f>
        <x:v>7.2</x:v>
      </x:c>
      <x:c r="M9" s="59" t="str">
        <x:v>Estimate</x:v>
      </x:c>
    </x:row>
    <x:row r="10" ht="15" hidden="0" customHeight="1">
      <x:c r="A10" s="59" t="str">
        <x:v>ESC Rev-B</x:v>
      </x:c>
      <x:c r="B10" s="59" t="str">
        <x:v>Commodity / unspecified</x:v>
      </x:c>
      <x:c r="C10" s="59" t="str">
        <x:v>10n</x:v>
      </x:c>
      <x:c r="D10" s="59" t="str">
        <x:v>10n</x:v>
      </x:c>
      <x:c r="E10" s="59" t="str">
        <x:v>Capacitor_SMD:C_0603_1608Metric</x:v>
      </x:c>
      <x:c r="F10" s="60" t="n">
        <x:v>1</x:v>
      </x:c>
      <x:c r="G10" s="59" t="str">
        <x:v>C231</x:v>
      </x:c>
      <x:c r="H10" s="59" t="str">
        <x:v>Allowance</x:v>
      </x:c>
      <x:c r="I10" s="61" t="n">
        <x:f>ROUND(SUMIF('Price Inputs'!$A$5:$A$139,C10,'Price Inputs'!$D$5:$D$139),2)</x:f>
        <x:v>1.8</x:v>
      </x:c>
      <x:c r="J10" s="61" t="n">
        <x:f>ROUND(F10*I10,2)</x:f>
        <x:v>1.8</x:v>
      </x:c>
      <x:c r="K10" s="61" t="n">
        <x:f>ROUND(SUMIF('Price Inputs'!$A$5:$A$139,C10,'Price Inputs'!$E$5:$E$139),2)</x:f>
        <x:v>0.7</x:v>
      </x:c>
      <x:c r="L10" s="61" t="n">
        <x:f>ROUND(F10*K10,2)</x:f>
        <x:v>0.7</x:v>
      </x:c>
      <x:c r="M10" s="59" t="str">
        <x:v>Estimate</x:v>
      </x:c>
    </x:row>
    <x:row r="11" ht="15" hidden="0" customHeight="1">
      <x:c r="A11" s="59" t="str">
        <x:v>ESC Rev-B</x:v>
      </x:c>
      <x:c r="B11" s="59" t="str">
        <x:v>Commodity / unspecified</x:v>
      </x:c>
      <x:c r="C11" s="59" t="str">
        <x:v>10n 50V</x:v>
      </x:c>
      <x:c r="D11" s="59" t="str">
        <x:v>10n 50V</x:v>
      </x:c>
      <x:c r="E11" s="59" t="str">
        <x:v>Capacitor_SMD:C_0603_1608Metric</x:v>
      </x:c>
      <x:c r="F11" s="60" t="n">
        <x:v>6</x:v>
      </x:c>
      <x:c r="G11" s="59" t="str">
        <x:v>C1150, C1250, C1350, C1450, C1550, C1650</x:v>
      </x:c>
      <x:c r="H11" s="59" t="str">
        <x:v>Allowance</x:v>
      </x:c>
      <x:c r="I11" s="61" t="n">
        <x:f>ROUND(SUMIF('Price Inputs'!$A$5:$A$139,C11,'Price Inputs'!$D$5:$D$139),2)</x:f>
        <x:v>1.8</x:v>
      </x:c>
      <x:c r="J11" s="61" t="n">
        <x:f>ROUND(F11*I11,2)</x:f>
        <x:v>10.8</x:v>
      </x:c>
      <x:c r="K11" s="61" t="n">
        <x:f>ROUND(SUMIF('Price Inputs'!$A$5:$A$139,C11,'Price Inputs'!$E$5:$E$139),2)</x:f>
        <x:v>0.7</x:v>
      </x:c>
      <x:c r="L11" s="61" t="n">
        <x:f>ROUND(F11*K11,2)</x:f>
        <x:v>4.2</x:v>
      </x:c>
      <x:c r="M11" s="59" t="str">
        <x:v>Estimate</x:v>
      </x:c>
    </x:row>
    <x:row r="12" ht="15" hidden="0" customHeight="1">
      <x:c r="A12" s="59" t="str">
        <x:v>ESC Rev-B</x:v>
      </x:c>
      <x:c r="B12" s="59" t="str">
        <x:v>Commodity / unspecified</x:v>
      </x:c>
      <x:c r="C12" s="59" t="str">
        <x:v>10n C0G</x:v>
      </x:c>
      <x:c r="D12" s="59" t="str">
        <x:v>10n C0G</x:v>
      </x:c>
      <x:c r="E12" s="59" t="str">
        <x:v>Capacitor_SMD:C_0603_1608Metric</x:v>
      </x:c>
      <x:c r="F12" s="60" t="n">
        <x:v>24</x:v>
      </x:c>
      <x:c r="G12" s="59" t="str">
        <x:v>C1120, C1121, C1122, C1123, C1220, C1221, C1222, C1223, C1320, C1321, C1322, C1323, C1420, C1421, C1422, C1423, C1520, C1521, C1522, C1523, C1620, C1621, C1622, C1623</x:v>
      </x:c>
      <x:c r="H12" s="59" t="str">
        <x:v>Allowance</x:v>
      </x:c>
      <x:c r="I12" s="61" t="n">
        <x:f>ROUND(SUMIF('Price Inputs'!$A$5:$A$139,C12,'Price Inputs'!$D$5:$D$139),2)</x:f>
        <x:v>3.5</x:v>
      </x:c>
      <x:c r="J12" s="61" t="n">
        <x:f>ROUND(F12*I12,2)</x:f>
        <x:v>84</x:v>
      </x:c>
      <x:c r="K12" s="61" t="n">
        <x:f>ROUND(SUMIF('Price Inputs'!$A$5:$A$139,C12,'Price Inputs'!$E$5:$E$139),2)</x:f>
        <x:v>1.5</x:v>
      </x:c>
      <x:c r="L12" s="61" t="n">
        <x:f>ROUND(F12*K12,2)</x:f>
        <x:v>36</x:v>
      </x:c>
      <x:c r="M12" s="59" t="str">
        <x:v>Estimate</x:v>
      </x:c>
    </x:row>
    <x:row r="13" ht="15" hidden="0" customHeight="1">
      <x:c r="A13" s="59" t="str">
        <x:v>ESC Rev-B</x:v>
      </x:c>
      <x:c r="B13" s="59" t="str">
        <x:v>Commodity / unspecified</x:v>
      </x:c>
      <x:c r="C13" s="59" t="str">
        <x:v>10u 100V</x:v>
      </x:c>
      <x:c r="D13" s="59" t="str">
        <x:v>10u 100V</x:v>
      </x:c>
      <x:c r="E13" s="59" t="str">
        <x:v>Capacitor_SMD:C_1210_3225Metric</x:v>
      </x:c>
      <x:c r="F13" s="60" t="n">
        <x:v>44</x:v>
      </x:c>
      <x:c r="G13" s="59" t="str">
        <x:v>C1106, C1131, C1132, C1133, C1134, C1135, C1136, C1206, C1231, C1232, C1233, C1234, C1235, C1236, C1306, C1331, C1332, C1333, C1334, C1335, C1336, C1406, C1431, C1432, C1433, C1434, C1435, C1436, C1506, C1531, C1532, C1533, C1534, C1535, C1536, C1606, C1631, C1632, C1633, C1634, C1635, C1636, C702, C711</x:v>
      </x:c>
      <x:c r="H13" s="59" t="str">
        <x:v>Qty 44 / 440</x:v>
      </x:c>
      <x:c r="I13" s="61" t="n">
        <x:f>ROUND(SUMIF('Price Inputs'!$A$5:$A$139,C13,'Price Inputs'!$D$5:$D$139),2)</x:f>
        <x:v>84.7</x:v>
      </x:c>
      <x:c r="J13" s="61" t="n">
        <x:f>ROUND(F13*I13,2)</x:f>
        <x:v>3726.8</x:v>
      </x:c>
      <x:c r="K13" s="61" t="n">
        <x:f>ROUND(SUMIF('Price Inputs'!$A$5:$A$139,C13,'Price Inputs'!$E$5:$E$139),2)</x:f>
        <x:v>61.59</x:v>
      </x:c>
      <x:c r="L13" s="61" t="n">
        <x:f>ROUND(F13*K13,2)</x:f>
        <x:v>2709.96</x:v>
      </x:c>
      <x:c r="M13" s="59" t="str">
        <x:v>Live/official</x:v>
      </x:c>
    </x:row>
    <x:row r="14" ht="15" hidden="0" customHeight="1">
      <x:c r="A14" s="59" t="str">
        <x:v>ESC Rev-B</x:v>
      </x:c>
      <x:c r="B14" s="59" t="str">
        <x:v>Commodity / unspecified</x:v>
      </x:c>
      <x:c r="C14" s="59" t="str">
        <x:v>10u 10V</x:v>
      </x:c>
      <x:c r="D14" s="59" t="str">
        <x:v>10u 10V</x:v>
      </x:c>
      <x:c r="E14" s="59" t="str">
        <x:v>Capacitor_SMD:C_0805_2012Metric</x:v>
      </x:c>
      <x:c r="F14" s="60" t="n">
        <x:v>6</x:v>
      </x:c>
      <x:c r="G14" s="59" t="str">
        <x:v>C1160, C1260, C1360, C1460, C1560, C1660</x:v>
      </x:c>
      <x:c r="H14" s="59" t="str">
        <x:v>Allowance</x:v>
      </x:c>
      <x:c r="I14" s="61" t="n">
        <x:f>ROUND(SUMIF('Price Inputs'!$A$5:$A$139,C14,'Price Inputs'!$D$5:$D$139),2)</x:f>
        <x:v>9</x:v>
      </x:c>
      <x:c r="J14" s="61" t="n">
        <x:f>ROUND(F14*I14,2)</x:f>
        <x:v>54</x:v>
      </x:c>
      <x:c r="K14" s="61" t="n">
        <x:f>ROUND(SUMIF('Price Inputs'!$A$5:$A$139,C14,'Price Inputs'!$E$5:$E$139),2)</x:f>
        <x:v>4</x:v>
      </x:c>
      <x:c r="L14" s="61" t="n">
        <x:f>ROUND(F14*K14,2)</x:f>
        <x:v>24</x:v>
      </x:c>
      <x:c r="M14" s="59" t="str">
        <x:v>Estimate</x:v>
      </x:c>
    </x:row>
    <x:row r="15" ht="15" hidden="0" customHeight="1">
      <x:c r="A15" s="59" t="str">
        <x:v>ESC Rev-B</x:v>
      </x:c>
      <x:c r="B15" s="59" t="str">
        <x:v>Commodity / unspecified</x:v>
      </x:c>
      <x:c r="C15" s="59" t="str">
        <x:v>120 DNP</x:v>
      </x:c>
      <x:c r="D15" s="59" t="str">
        <x:v>120 DNP</x:v>
      </x:c>
      <x:c r="E15" s="59" t="str">
        <x:v>Resistor_SMD:R_0603_1608Metric</x:v>
      </x:c>
      <x:c r="F15" s="60" t="n">
        <x:v>1</x:v>
      </x:c>
      <x:c r="G15" s="59" t="str">
        <x:v>R242</x:v>
      </x:c>
      <x:c r="H15" s="59" t="str">
        <x:v>Allowance</x:v>
      </x:c>
      <x:c r="I15" s="61" t="n">
        <x:f>ROUND(SUMIF('Price Inputs'!$A$5:$A$139,C15,'Price Inputs'!$D$5:$D$139),2)</x:f>
        <x:v>0</x:v>
      </x:c>
      <x:c r="J15" s="61" t="n">
        <x:f>ROUND(F15*I15,2)</x:f>
        <x:v>0</x:v>
      </x:c>
      <x:c r="K15" s="61" t="n">
        <x:f>ROUND(SUMIF('Price Inputs'!$A$5:$A$139,C15,'Price Inputs'!$E$5:$E$139),2)</x:f>
        <x:v>0</x:v>
      </x:c>
      <x:c r="L15" s="61" t="n">
        <x:f>ROUND(F15*K15,2)</x:f>
        <x:v>0</x:v>
      </x:c>
      <x:c r="M15" s="59" t="str">
        <x:v>DNP</x:v>
      </x:c>
    </x:row>
    <x:row r="16" ht="15" hidden="0" customHeight="1">
      <x:c r="A16" s="59" t="str">
        <x:v>ESC Rev-B</x:v>
      </x:c>
      <x:c r="B16" s="59" t="str">
        <x:v>Commodity / unspecified</x:v>
      </x:c>
      <x:c r="C16" s="59" t="str">
        <x:v>12p C0G</x:v>
      </x:c>
      <x:c r="D16" s="59" t="str">
        <x:v>12p C0G</x:v>
      </x:c>
      <x:c r="E16" s="59" t="str">
        <x:v>Capacitor_SMD:C_0402_1005Metric</x:v>
      </x:c>
      <x:c r="F16" s="60" t="n">
        <x:v>12</x:v>
      </x:c>
      <x:c r="G16" s="59" t="str">
        <x:v>C1173, C1174, C1273, C1274, C1373, C1374, C1473, C1474, C1573, C1574, C1673, C1674</x:v>
      </x:c>
      <x:c r="H16" s="59" t="str">
        <x:v>Allowance</x:v>
      </x:c>
      <x:c r="I16" s="61" t="n">
        <x:f>ROUND(SUMIF('Price Inputs'!$A$5:$A$139,C16,'Price Inputs'!$D$5:$D$139),2)</x:f>
        <x:v>3.5</x:v>
      </x:c>
      <x:c r="J16" s="61" t="n">
        <x:f>ROUND(F16*I16,2)</x:f>
        <x:v>42</x:v>
      </x:c>
      <x:c r="K16" s="61" t="n">
        <x:f>ROUND(SUMIF('Price Inputs'!$A$5:$A$139,C16,'Price Inputs'!$E$5:$E$139),2)</x:f>
        <x:v>1.5</x:v>
      </x:c>
      <x:c r="L16" s="61" t="n">
        <x:f>ROUND(F16*K16,2)</x:f>
        <x:v>18</x:v>
      </x:c>
      <x:c r="M16" s="59" t="str">
        <x:v>Estimate</x:v>
      </x:c>
    </x:row>
    <x:row r="17" ht="15" hidden="0" customHeight="1">
      <x:c r="A17" s="59" t="str">
        <x:v>ESC Rev-B</x:v>
      </x:c>
      <x:c r="B17" s="59" t="str">
        <x:v>Commodity / unspecified</x:v>
      </x:c>
      <x:c r="C17" s="59" t="str">
        <x:v>14.3k 1%</x:v>
      </x:c>
      <x:c r="D17" s="59" t="str">
        <x:v>14.3k 1%</x:v>
      </x:c>
      <x:c r="E17" s="59" t="str">
        <x:v>Resistor_SMD:R_0603_1608Metric</x:v>
      </x:c>
      <x:c r="F17" s="60" t="n">
        <x:v>2</x:v>
      </x:c>
      <x:c r="G17" s="59" t="str">
        <x:v>R703, R712</x:v>
      </x:c>
      <x:c r="H17" s="59" t="str">
        <x:v>Allowance</x:v>
      </x:c>
      <x:c r="I17" s="61" t="n">
        <x:f>ROUND(SUMIF('Price Inputs'!$A$5:$A$139,C17,'Price Inputs'!$D$5:$D$139),2)</x:f>
        <x:v>1.2</x:v>
      </x:c>
      <x:c r="J17" s="61" t="n">
        <x:f>ROUND(F17*I17,2)</x:f>
        <x:v>2.4</x:v>
      </x:c>
      <x:c r="K17" s="61" t="n">
        <x:f>ROUND(SUMIF('Price Inputs'!$A$5:$A$139,C17,'Price Inputs'!$E$5:$E$139),2)</x:f>
        <x:v>0.45</x:v>
      </x:c>
      <x:c r="L17" s="61" t="n">
        <x:f>ROUND(F17*K17,2)</x:f>
        <x:v>0.9</x:v>
      </x:c>
      <x:c r="M17" s="59" t="str">
        <x:v>Estimate</x:v>
      </x:c>
    </x:row>
    <x:row r="18" ht="15" hidden="0" customHeight="1">
      <x:c r="A18" s="59" t="str">
        <x:v>ESC Rev-B</x:v>
      </x:c>
      <x:c r="B18" s="59" t="str">
        <x:v>Commodity / unspecified</x:v>
      </x:c>
      <x:c r="C18" s="59" t="str">
        <x:v>150k 0.1%</x:v>
      </x:c>
      <x:c r="D18" s="59" t="str">
        <x:v>150k 0.1%</x:v>
      </x:c>
      <x:c r="E18" s="59" t="str">
        <x:v>Resistor_SMD:R_1206_3216Metric</x:v>
      </x:c>
      <x:c r="F18" s="60" t="n">
        <x:v>24</x:v>
      </x:c>
      <x:c r="G18" s="59" t="str">
        <x:v>R1140, R1141, R1142, R1143, R1240, R1241, R1242, R1243, R1340, R1341, R1342, R1343, R1440, R1441, R1442, R1443, R1540, R1541, R1542, R1543, R1640, R1641, R1642, R1643</x:v>
      </x:c>
      <x:c r="H18" s="59" t="str">
        <x:v>Allowance</x:v>
      </x:c>
      <x:c r="I18" s="61" t="n">
        <x:f>ROUND(SUMIF('Price Inputs'!$A$5:$A$139,C18,'Price Inputs'!$D$5:$D$139),2)</x:f>
        <x:v>3.5</x:v>
      </x:c>
      <x:c r="J18" s="61" t="n">
        <x:f>ROUND(F18*I18,2)</x:f>
        <x:v>84</x:v>
      </x:c>
      <x:c r="K18" s="61" t="n">
        <x:f>ROUND(SUMIF('Price Inputs'!$A$5:$A$139,C18,'Price Inputs'!$E$5:$E$139),2)</x:f>
        <x:v>1.2</x:v>
      </x:c>
      <x:c r="L18" s="61" t="n">
        <x:f>ROUND(F18*K18,2)</x:f>
        <x:v>28.8</x:v>
      </x:c>
      <x:c r="M18" s="59" t="str">
        <x:v>Estimate</x:v>
      </x:c>
    </x:row>
    <x:row r="19" ht="15" hidden="0" customHeight="1">
      <x:c r="A19" s="59" t="str">
        <x:v>ESC Rev-B</x:v>
      </x:c>
      <x:c r="B19" s="59" t="str">
        <x:v>Commodity / unspecified</x:v>
      </x:c>
      <x:c r="C19" s="59" t="str">
        <x:v>15p C0G</x:v>
      </x:c>
      <x:c r="D19" s="59" t="str">
        <x:v>15p C0G</x:v>
      </x:c>
      <x:c r="E19" s="59" t="str">
        <x:v>Capacitor_SMD:C_0402_1005Metric</x:v>
      </x:c>
      <x:c r="F19" s="60" t="n">
        <x:v>4</x:v>
      </x:c>
      <x:c r="G19" s="59" t="str">
        <x:v>C213, C214, C240, C241</x:v>
      </x:c>
      <x:c r="H19" s="59" t="str">
        <x:v>Allowance</x:v>
      </x:c>
      <x:c r="I19" s="61" t="n">
        <x:f>ROUND(SUMIF('Price Inputs'!$A$5:$A$139,C19,'Price Inputs'!$D$5:$D$139),2)</x:f>
        <x:v>3.5</x:v>
      </x:c>
      <x:c r="J19" s="61" t="n">
        <x:f>ROUND(F19*I19,2)</x:f>
        <x:v>14</x:v>
      </x:c>
      <x:c r="K19" s="61" t="n">
        <x:f>ROUND(SUMIF('Price Inputs'!$A$5:$A$139,C19,'Price Inputs'!$E$5:$E$139),2)</x:f>
        <x:v>1.5</x:v>
      </x:c>
      <x:c r="L19" s="61" t="n">
        <x:f>ROUND(F19*K19,2)</x:f>
        <x:v>6</x:v>
      </x:c>
      <x:c r="M19" s="59" t="str">
        <x:v>Estimate</x:v>
      </x:c>
    </x:row>
    <x:row r="20" ht="15" hidden="0" customHeight="1">
      <x:c r="A20" s="59" t="str">
        <x:v>ESC Rev-B</x:v>
      </x:c>
      <x:c r="B20" s="59" t="str">
        <x:v>Commodity / unspecified</x:v>
      </x:c>
      <x:c r="C20" s="59" t="str">
        <x:v>1k</x:v>
      </x:c>
      <x:c r="D20" s="59" t="str">
        <x:v>1k</x:v>
      </x:c>
      <x:c r="E20" s="59" t="str">
        <x:v>Resistor_SMD:R_0603_1608Metric</x:v>
      </x:c>
      <x:c r="F20" s="60" t="n">
        <x:v>7</x:v>
      </x:c>
      <x:c r="G20" s="59" t="str">
        <x:v>R1157, R1257, R1357, R1457, R1557, R1657, R203</x:v>
      </x:c>
      <x:c r="H20" s="59" t="str">
        <x:v>Allowance</x:v>
      </x:c>
      <x:c r="I20" s="61" t="n">
        <x:f>ROUND(SUMIF('Price Inputs'!$A$5:$A$139,C20,'Price Inputs'!$D$5:$D$139),2)</x:f>
        <x:v>1.2</x:v>
      </x:c>
      <x:c r="J20" s="61" t="n">
        <x:f>ROUND(F20*I20,2)</x:f>
        <x:v>8.4</x:v>
      </x:c>
      <x:c r="K20" s="61" t="n">
        <x:f>ROUND(SUMIF('Price Inputs'!$A$5:$A$139,C20,'Price Inputs'!$E$5:$E$139),2)</x:f>
        <x:v>0.45</x:v>
      </x:c>
      <x:c r="L20" s="61" t="n">
        <x:f>ROUND(F20*K20,2)</x:f>
        <x:v>3.15</x:v>
      </x:c>
      <x:c r="M20" s="59" t="str">
        <x:v>Estimate</x:v>
      </x:c>
    </x:row>
    <x:row r="21" ht="15" hidden="0" customHeight="1">
      <x:c r="A21" s="59" t="str">
        <x:v>ESC Rev-B</x:v>
      </x:c>
      <x:c r="B21" s="59" t="str">
        <x:v>Commodity / unspecified</x:v>
      </x:c>
      <x:c r="C21" s="59" t="str">
        <x:v>1n C0G</x:v>
      </x:c>
      <x:c r="D21" s="59" t="str">
        <x:v>1n C0G</x:v>
      </x:c>
      <x:c r="E21" s="59" t="str">
        <x:v>Capacitor_SMD:C_0603_1608Metric</x:v>
      </x:c>
      <x:c r="F21" s="60" t="n">
        <x:v>1</x:v>
      </x:c>
      <x:c r="G21" s="59" t="str">
        <x:v>C230</x:v>
      </x:c>
      <x:c r="H21" s="59" t="str">
        <x:v>Allowance</x:v>
      </x:c>
      <x:c r="I21" s="61" t="n">
        <x:f>ROUND(SUMIF('Price Inputs'!$A$5:$A$139,C21,'Price Inputs'!$D$5:$D$139),2)</x:f>
        <x:v>3.5</x:v>
      </x:c>
      <x:c r="J21" s="61" t="n">
        <x:f>ROUND(F21*I21,2)</x:f>
        <x:v>3.5</x:v>
      </x:c>
      <x:c r="K21" s="61" t="n">
        <x:f>ROUND(SUMIF('Price Inputs'!$A$5:$A$139,C21,'Price Inputs'!$E$5:$E$139),2)</x:f>
        <x:v>1.5</x:v>
      </x:c>
      <x:c r="L21" s="61" t="n">
        <x:f>ROUND(F21*K21,2)</x:f>
        <x:v>1.5</x:v>
      </x:c>
      <x:c r="M21" s="59" t="str">
        <x:v>Estimate</x:v>
      </x:c>
    </x:row>
    <x:row r="22" ht="15" hidden="0" customHeight="1">
      <x:c r="A22" s="59" t="str">
        <x:v>ESC Rev-B</x:v>
      </x:c>
      <x:c r="B22" s="59" t="str">
        <x:v>Commodity / unspecified</x:v>
      </x:c>
      <x:c r="C22" s="59" t="str">
        <x:v>1u</x:v>
      </x:c>
      <x:c r="D22" s="59" t="str">
        <x:v>1u</x:v>
      </x:c>
      <x:c r="E22" s="59" t="str">
        <x:v>Capacitor_SMD:C_0603_1608Metric</x:v>
      </x:c>
      <x:c r="F22" s="60" t="n">
        <x:v>8</x:v>
      </x:c>
      <x:c r="G22" s="59" t="str">
        <x:v>C1171, C1271, C1371, C1471, C1571, C1671, C706, C707</x:v>
      </x:c>
      <x:c r="H22" s="59" t="str">
        <x:v>Allowance</x:v>
      </x:c>
      <x:c r="I22" s="61" t="n">
        <x:f>ROUND(SUMIF('Price Inputs'!$A$5:$A$139,C22,'Price Inputs'!$D$5:$D$139),2)</x:f>
        <x:v>1.8</x:v>
      </x:c>
      <x:c r="J22" s="61" t="n">
        <x:f>ROUND(F22*I22,2)</x:f>
        <x:v>14.4</x:v>
      </x:c>
      <x:c r="K22" s="61" t="n">
        <x:f>ROUND(SUMIF('Price Inputs'!$A$5:$A$139,C22,'Price Inputs'!$E$5:$E$139),2)</x:f>
        <x:v>0.7</x:v>
      </x:c>
      <x:c r="L22" s="61" t="n">
        <x:f>ROUND(F22*K22,2)</x:f>
        <x:v>5.6</x:v>
      </x:c>
      <x:c r="M22" s="59" t="str">
        <x:v>Estimate</x:v>
      </x:c>
    </x:row>
    <x:row r="23" ht="15" hidden="0" customHeight="1">
      <x:c r="A23" s="59" t="str">
        <x:v>ESC Rev-B</x:v>
      </x:c>
      <x:c r="B23" s="59" t="str">
        <x:v>Commodity / unspecified</x:v>
      </x:c>
      <x:c r="C23" s="59" t="str">
        <x:v>1u 10V</x:v>
      </x:c>
      <x:c r="D23" s="59" t="str">
        <x:v>1u 10V</x:v>
      </x:c>
      <x:c r="E23" s="59" t="str">
        <x:v>Capacitor_SMD:C_0603_1608Metric</x:v>
      </x:c>
      <x:c r="F23" s="60" t="n">
        <x:v>6</x:v>
      </x:c>
      <x:c r="G23" s="59" t="str">
        <x:v>C1104, C1204, C1304, C1404, C1504, C1604</x:v>
      </x:c>
      <x:c r="H23" s="59" t="str">
        <x:v>Allowance</x:v>
      </x:c>
      <x:c r="I23" s="61" t="n">
        <x:f>ROUND(SUMIF('Price Inputs'!$A$5:$A$139,C23,'Price Inputs'!$D$5:$D$139),2)</x:f>
        <x:v>1.8</x:v>
      </x:c>
      <x:c r="J23" s="61" t="n">
        <x:f>ROUND(F23*I23,2)</x:f>
        <x:v>10.8</x:v>
      </x:c>
      <x:c r="K23" s="61" t="n">
        <x:f>ROUND(SUMIF('Price Inputs'!$A$5:$A$139,C23,'Price Inputs'!$E$5:$E$139),2)</x:f>
        <x:v>0.7</x:v>
      </x:c>
      <x:c r="L23" s="61" t="n">
        <x:f>ROUND(F23*K23,2)</x:f>
        <x:v>4.2</x:v>
      </x:c>
      <x:c r="M23" s="59" t="str">
        <x:v>Estimate</x:v>
      </x:c>
    </x:row>
    <x:row r="24" ht="15" hidden="0" customHeight="1">
      <x:c r="A24" s="59" t="str">
        <x:v>ESC Rev-B</x:v>
      </x:c>
      <x:c r="B24" s="59" t="str">
        <x:v>Commodity / unspecified</x:v>
      </x:c>
      <x:c r="C24" s="59" t="str">
        <x:v>1u 16V</x:v>
      </x:c>
      <x:c r="D24" s="59" t="str">
        <x:v>1u 16V</x:v>
      </x:c>
      <x:c r="E24" s="59" t="str">
        <x:v>Capacitor_SMD:C_0603_1608Metric</x:v>
      </x:c>
      <x:c r="F24" s="60" t="n">
        <x:v>12</x:v>
      </x:c>
      <x:c r="G24" s="59" t="str">
        <x:v>C1102, C1103, C1202, C1203, C1302, C1303, C1402, C1403, C1502, C1503, C1602, C1603</x:v>
      </x:c>
      <x:c r="H24" s="59" t="str">
        <x:v>Allowance</x:v>
      </x:c>
      <x:c r="I24" s="61" t="n">
        <x:f>ROUND(SUMIF('Price Inputs'!$A$5:$A$139,C24,'Price Inputs'!$D$5:$D$139),2)</x:f>
        <x:v>1.8</x:v>
      </x:c>
      <x:c r="J24" s="61" t="n">
        <x:f>ROUND(F24*I24,2)</x:f>
        <x:v>21.6</x:v>
      </x:c>
      <x:c r="K24" s="61" t="n">
        <x:f>ROUND(SUMIF('Price Inputs'!$A$5:$A$139,C24,'Price Inputs'!$E$5:$E$139),2)</x:f>
        <x:v>0.7</x:v>
      </x:c>
      <x:c r="L24" s="61" t="n">
        <x:f>ROUND(F24*K24,2)</x:f>
        <x:v>8.4</x:v>
      </x:c>
      <x:c r="M24" s="59" t="str">
        <x:v>Estimate</x:v>
      </x:c>
    </x:row>
    <x:row r="25" ht="15" hidden="0" customHeight="1">
      <x:c r="A25" s="59" t="str">
        <x:v>ESC Rev-B</x:v>
      </x:c>
      <x:c r="B25" s="59" t="str">
        <x:v>Commodity / unspecified</x:v>
      </x:c>
      <x:c r="C25" s="59" t="str">
        <x:v>2.2</x:v>
      </x:c>
      <x:c r="D25" s="59" t="str">
        <x:v>2.2</x:v>
      </x:c>
      <x:c r="E25" s="59" t="str">
        <x:v>Resistor_SMD:R_0603_1608Metric</x:v>
      </x:c>
      <x:c r="F25" s="60" t="n">
        <x:v>36</x:v>
      </x:c>
      <x:c r="G25" s="59" t="str">
        <x:v>R1101, R1103, R1105, R1107, R1109, R1111, R1201, R1203, R1205, R1207, R1209, R1211, R1301, R1303, R1305, R1307, R1309, R1311, R1401, R1403, R1405, R1407, R1409, R1411, R1501, R1503, R1505, R1507, R1509, R1511, R1601, R1603, R1605, R1607, R1609, R1611</x:v>
      </x:c>
      <x:c r="H25" s="59" t="str">
        <x:v>Allowance</x:v>
      </x:c>
      <x:c r="I25" s="61" t="n">
        <x:f>ROUND(SUMIF('Price Inputs'!$A$5:$A$139,C25,'Price Inputs'!$D$5:$D$139),2)</x:f>
        <x:v>1.2</x:v>
      </x:c>
      <x:c r="J25" s="61" t="n">
        <x:f>ROUND(F25*I25,2)</x:f>
        <x:v>43.2</x:v>
      </x:c>
      <x:c r="K25" s="61" t="n">
        <x:f>ROUND(SUMIF('Price Inputs'!$A$5:$A$139,C25,'Price Inputs'!$E$5:$E$139),2)</x:f>
        <x:v>0.45</x:v>
      </x:c>
      <x:c r="L25" s="61" t="n">
        <x:f>ROUND(F25*K25,2)</x:f>
        <x:v>16.2</x:v>
      </x:c>
      <x:c r="M25" s="59" t="str">
        <x:v>Estimate</x:v>
      </x:c>
    </x:row>
    <x:row r="26" ht="15" hidden="0" customHeight="1">
      <x:c r="A26" s="59" t="str">
        <x:v>ESC Rev-B</x:v>
      </x:c>
      <x:c r="B26" s="59" t="str">
        <x:v>Commodity / unspecified</x:v>
      </x:c>
      <x:c r="C26" s="59" t="str">
        <x:v>2.2n 50V X7R</x:v>
      </x:c>
      <x:c r="D26" s="59" t="str">
        <x:v>2.2n 50V X7R</x:v>
      </x:c>
      <x:c r="E26" s="59" t="str">
        <x:v>Capacitor_SMD:C_0603_1608Metric</x:v>
      </x:c>
      <x:c r="F26" s="60" t="n">
        <x:v>2</x:v>
      </x:c>
      <x:c r="G26" s="59" t="str">
        <x:v>C703, C712</x:v>
      </x:c>
      <x:c r="H26" s="59" t="str">
        <x:v>Allowance</x:v>
      </x:c>
      <x:c r="I26" s="61" t="n">
        <x:f>ROUND(SUMIF('Price Inputs'!$A$5:$A$139,C26,'Price Inputs'!$D$5:$D$139),2)</x:f>
        <x:v>1.8</x:v>
      </x:c>
      <x:c r="J26" s="61" t="n">
        <x:f>ROUND(F26*I26,2)</x:f>
        <x:v>3.6</x:v>
      </x:c>
      <x:c r="K26" s="61" t="n">
        <x:f>ROUND(SUMIF('Price Inputs'!$A$5:$A$139,C26,'Price Inputs'!$E$5:$E$139),2)</x:f>
        <x:v>0.7</x:v>
      </x:c>
      <x:c r="L26" s="61" t="n">
        <x:f>ROUND(F26*K26,2)</x:f>
        <x:v>1.4</x:v>
      </x:c>
      <x:c r="M26" s="59" t="str">
        <x:v>Estimate</x:v>
      </x:c>
    </x:row>
    <x:row r="27" ht="15" hidden="0" customHeight="1">
      <x:c r="A27" s="59" t="str">
        <x:v>ESC Rev-B</x:v>
      </x:c>
      <x:c r="B27" s="59" t="str">
        <x:v>Commodity / unspecified</x:v>
      </x:c>
      <x:c r="C27" s="59" t="str">
        <x:v>2.2u 100V X7R</x:v>
      </x:c>
      <x:c r="D27" s="59" t="str">
        <x:v>2.2u 100V X7R</x:v>
      </x:c>
      <x:c r="E27" s="59" t="str">
        <x:v>Capacitor_SMD:C_1210_3225Metric</x:v>
      </x:c>
      <x:c r="F27" s="60" t="n">
        <x:v>3</x:v>
      </x:c>
      <x:c r="G27" s="59" t="str">
        <x:v>C700, C701, C710</x:v>
      </x:c>
      <x:c r="H27" s="59" t="str">
        <x:v>Allowance</x:v>
      </x:c>
      <x:c r="I27" s="61" t="n">
        <x:f>ROUND(SUMIF('Price Inputs'!$A$5:$A$139,C27,'Price Inputs'!$D$5:$D$139),2)</x:f>
        <x:v>8</x:v>
      </x:c>
      <x:c r="J27" s="61" t="n">
        <x:f>ROUND(F27*I27,2)</x:f>
        <x:v>24</x:v>
      </x:c>
      <x:c r="K27" s="61" t="n">
        <x:f>ROUND(SUMIF('Price Inputs'!$A$5:$A$139,C27,'Price Inputs'!$E$5:$E$139),2)</x:f>
        <x:v>4</x:v>
      </x:c>
      <x:c r="L27" s="61" t="n">
        <x:f>ROUND(F27*K27,2)</x:f>
        <x:v>12</x:v>
      </x:c>
      <x:c r="M27" s="59" t="str">
        <x:v>Estimate</x:v>
      </x:c>
    </x:row>
    <x:row r="28" ht="15" hidden="0" customHeight="1">
      <x:c r="A28" s="59" t="str">
        <x:v>ESC Rev-B</x:v>
      </x:c>
      <x:c r="B28" s="59" t="str">
        <x:v>Commodity / unspecified</x:v>
      </x:c>
      <x:c r="C28" s="59" t="str">
        <x:v>2.2u 10V</x:v>
      </x:c>
      <x:c r="D28" s="59" t="str">
        <x:v>2.2u 10V</x:v>
      </x:c>
      <x:c r="E28" s="59" t="str">
        <x:v>Capacitor_SMD:C_0603_1608Metric</x:v>
      </x:c>
      <x:c r="F28" s="60" t="n">
        <x:v>12</x:v>
      </x:c>
      <x:c r="G28" s="59" t="str">
        <x:v>C1162, C1163, C1262, C1263, C1362, C1363, C1462, C1463, C1562, C1563, C1662, C1663</x:v>
      </x:c>
      <x:c r="H28" s="59" t="str">
        <x:v>Allowance</x:v>
      </x:c>
      <x:c r="I28" s="61" t="n">
        <x:f>ROUND(SUMIF('Price Inputs'!$A$5:$A$139,C28,'Price Inputs'!$D$5:$D$139),2)</x:f>
        <x:v>1.8</x:v>
      </x:c>
      <x:c r="J28" s="61" t="n">
        <x:f>ROUND(F28*I28,2)</x:f>
        <x:v>21.6</x:v>
      </x:c>
      <x:c r="K28" s="61" t="n">
        <x:f>ROUND(SUMIF('Price Inputs'!$A$5:$A$139,C28,'Price Inputs'!$E$5:$E$139),2)</x:f>
        <x:v>0.7</x:v>
      </x:c>
      <x:c r="L28" s="61" t="n">
        <x:f>ROUND(F28*K28,2)</x:f>
        <x:v>8.4</x:v>
      </x:c>
      <x:c r="M28" s="59" t="str">
        <x:v>Estimate</x:v>
      </x:c>
    </x:row>
    <x:row r="29" ht="15" hidden="0" customHeight="1">
      <x:c r="A29" s="59" t="str">
        <x:v>ESC Rev-B</x:v>
      </x:c>
      <x:c r="B29" s="59" t="str">
        <x:v>Commodity / unspecified</x:v>
      </x:c>
      <x:c r="C29" s="59" t="str">
        <x:v>226k 1%</x:v>
      </x:c>
      <x:c r="D29" s="59" t="str">
        <x:v>226k 1%</x:v>
      </x:c>
      <x:c r="E29" s="59" t="str">
        <x:v>Resistor_SMD:R_0603_1608Metric</x:v>
      </x:c>
      <x:c r="F29" s="60" t="n">
        <x:v>2</x:v>
      </x:c>
      <x:c r="G29" s="59" t="str">
        <x:v>R705, R713</x:v>
      </x:c>
      <x:c r="H29" s="59" t="str">
        <x:v>Allowance</x:v>
      </x:c>
      <x:c r="I29" s="61" t="n">
        <x:f>ROUND(SUMIF('Price Inputs'!$A$5:$A$139,C29,'Price Inputs'!$D$5:$D$139),2)</x:f>
        <x:v>1.2</x:v>
      </x:c>
      <x:c r="J29" s="61" t="n">
        <x:f>ROUND(F29*I29,2)</x:f>
        <x:v>2.4</x:v>
      </x:c>
      <x:c r="K29" s="61" t="n">
        <x:f>ROUND(SUMIF('Price Inputs'!$A$5:$A$139,C29,'Price Inputs'!$E$5:$E$139),2)</x:f>
        <x:v>0.45</x:v>
      </x:c>
      <x:c r="L29" s="61" t="n">
        <x:f>ROUND(F29*K29,2)</x:f>
        <x:v>0.9</x:v>
      </x:c>
      <x:c r="M29" s="59" t="str">
        <x:v>Estimate</x:v>
      </x:c>
    </x:row>
    <x:row r="30" ht="15" hidden="0" customHeight="1">
      <x:c r="A30" s="59" t="str">
        <x:v>ESC Rev-B</x:v>
      </x:c>
      <x:c r="B30" s="59" t="str">
        <x:v>Commodity / unspecified</x:v>
      </x:c>
      <x:c r="C30" s="59" t="str">
        <x:v>22u 10V</x:v>
      </x:c>
      <x:c r="D30" s="59" t="str">
        <x:v>22u 10V</x:v>
      </x:c>
      <x:c r="E30" s="59" t="str">
        <x:v>Capacitor_SMD:C_1210_3225Metric</x:v>
      </x:c>
      <x:c r="F30" s="60" t="n">
        <x:v>4</x:v>
      </x:c>
      <x:c r="G30" s="59" t="str">
        <x:v>C704, C705, C713, C714</x:v>
      </x:c>
      <x:c r="H30" s="59" t="str">
        <x:v>Allowance</x:v>
      </x:c>
      <x:c r="I30" s="61" t="n">
        <x:f>ROUND(SUMIF('Price Inputs'!$A$5:$A$139,C30,'Price Inputs'!$D$5:$D$139),2)</x:f>
        <x:v>9</x:v>
      </x:c>
      <x:c r="J30" s="61" t="n">
        <x:f>ROUND(F30*I30,2)</x:f>
        <x:v>36</x:v>
      </x:c>
      <x:c r="K30" s="61" t="n">
        <x:f>ROUND(SUMIF('Price Inputs'!$A$5:$A$139,C30,'Price Inputs'!$E$5:$E$139),2)</x:f>
        <x:v>4</x:v>
      </x:c>
      <x:c r="L30" s="61" t="n">
        <x:f>ROUND(F30*K30,2)</x:f>
        <x:v>16</x:v>
      </x:c>
      <x:c r="M30" s="59" t="str">
        <x:v>Estimate</x:v>
      </x:c>
    </x:row>
    <x:row r="31" ht="15" hidden="0" customHeight="1">
      <x:c r="A31" s="59" t="str">
        <x:v>ESC Rev-B</x:v>
      </x:c>
      <x:c r="B31" s="59" t="str">
        <x:v>Commodity / unspecified</x:v>
      </x:c>
      <x:c r="C31" s="59" t="str">
        <x:v>3.3n X7R</x:v>
      </x:c>
      <x:c r="D31" s="59" t="str">
        <x:v>3.3n X7R</x:v>
      </x:c>
      <x:c r="E31" s="59" t="str">
        <x:v>Capacitor_SMD:C_0603_1608Metric</x:v>
      </x:c>
      <x:c r="F31" s="60" t="n">
        <x:v>2</x:v>
      </x:c>
      <x:c r="G31" s="59" t="str">
        <x:v>C708, C715</x:v>
      </x:c>
      <x:c r="H31" s="59" t="str">
        <x:v>Allowance</x:v>
      </x:c>
      <x:c r="I31" s="61" t="n">
        <x:f>ROUND(SUMIF('Price Inputs'!$A$5:$A$139,C31,'Price Inputs'!$D$5:$D$139),2)</x:f>
        <x:v>1.8</x:v>
      </x:c>
      <x:c r="J31" s="61" t="n">
        <x:f>ROUND(F31*I31,2)</x:f>
        <x:v>3.6</x:v>
      </x:c>
      <x:c r="K31" s="61" t="n">
        <x:f>ROUND(SUMIF('Price Inputs'!$A$5:$A$139,C31,'Price Inputs'!$E$5:$E$139),2)</x:f>
        <x:v>0.7</x:v>
      </x:c>
      <x:c r="L31" s="61" t="n">
        <x:f>ROUND(F31*K31,2)</x:f>
        <x:v>1.4</x:v>
      </x:c>
      <x:c r="M31" s="59" t="str">
        <x:v>Estimate</x:v>
      </x:c>
    </x:row>
    <x:row r="32" ht="15" hidden="0" customHeight="1">
      <x:c r="A32" s="59" t="str">
        <x:v>ESC Rev-B</x:v>
      </x:c>
      <x:c r="B32" s="59" t="str">
        <x:v>Commodity / unspecified</x:v>
      </x:c>
      <x:c r="C32" s="59" t="str">
        <x:v>33</x:v>
      </x:c>
      <x:c r="D32" s="59" t="str">
        <x:v>33</x:v>
      </x:c>
      <x:c r="E32" s="59" t="str">
        <x:v>Resistor_SMD:R_0402_1005Metric</x:v>
      </x:c>
      <x:c r="F32" s="60" t="n">
        <x:v>1</x:v>
      </x:c>
      <x:c r="G32" s="59" t="str">
        <x:v>R201</x:v>
      </x:c>
      <x:c r="H32" s="59" t="str">
        <x:v>Allowance</x:v>
      </x:c>
      <x:c r="I32" s="61" t="n">
        <x:f>ROUND(SUMIF('Price Inputs'!$A$5:$A$139,C32,'Price Inputs'!$D$5:$D$139),2)</x:f>
        <x:v>1.2</x:v>
      </x:c>
      <x:c r="J32" s="61" t="n">
        <x:f>ROUND(F32*I32,2)</x:f>
        <x:v>1.2</x:v>
      </x:c>
      <x:c r="K32" s="61" t="n">
        <x:f>ROUND(SUMIF('Price Inputs'!$A$5:$A$139,C32,'Price Inputs'!$E$5:$E$139),2)</x:f>
        <x:v>0.45</x:v>
      </x:c>
      <x:c r="L32" s="61" t="n">
        <x:f>ROUND(F32*K32,2)</x:f>
        <x:v>0.45</x:v>
      </x:c>
      <x:c r="M32" s="59" t="str">
        <x:v>Estimate</x:v>
      </x:c>
    </x:row>
    <x:row r="33" ht="15" hidden="0" customHeight="1">
      <x:c r="A33" s="59" t="str">
        <x:v>ESC Rev-B</x:v>
      </x:c>
      <x:c r="B33" s="59" t="str">
        <x:v>Commodity / unspecified</x:v>
      </x:c>
      <x:c r="C33" s="59" t="str">
        <x:v>33k 0.1%</x:v>
      </x:c>
      <x:c r="D33" s="59" t="str">
        <x:v>33k 0.1%</x:v>
      </x:c>
      <x:c r="E33" s="59" t="str">
        <x:v>Resistor_SMD:R_0603_1608Metric</x:v>
      </x:c>
      <x:c r="F33" s="60" t="n">
        <x:v>6</x:v>
      </x:c>
      <x:c r="G33" s="59" t="str">
        <x:v>R1144, R1244, R1344, R1444, R1544, R1644</x:v>
      </x:c>
      <x:c r="H33" s="59" t="str">
        <x:v>Allowance</x:v>
      </x:c>
      <x:c r="I33" s="61" t="n">
        <x:f>ROUND(SUMIF('Price Inputs'!$A$5:$A$139,C33,'Price Inputs'!$D$5:$D$139),2)</x:f>
        <x:v>3.5</x:v>
      </x:c>
      <x:c r="J33" s="61" t="n">
        <x:f>ROUND(F33*I33,2)</x:f>
        <x:v>21</x:v>
      </x:c>
      <x:c r="K33" s="61" t="n">
        <x:f>ROUND(SUMIF('Price Inputs'!$A$5:$A$139,C33,'Price Inputs'!$E$5:$E$139),2)</x:f>
        <x:v>1.2</x:v>
      </x:c>
      <x:c r="L33" s="61" t="n">
        <x:f>ROUND(F33*K33,2)</x:f>
        <x:v>7.2</x:v>
      </x:c>
      <x:c r="M33" s="59" t="str">
        <x:v>Estimate</x:v>
      </x:c>
    </x:row>
    <x:row r="34" ht="15" hidden="0" customHeight="1">
      <x:c r="A34" s="59" t="str">
        <x:v>ESC Rev-B</x:v>
      </x:c>
      <x:c r="B34" s="59" t="str">
        <x:v>Commodity / unspecified</x:v>
      </x:c>
      <x:c r="C34" s="59" t="str">
        <x:v>33u 1.8A</x:v>
      </x:c>
      <x:c r="D34" s="59" t="str">
        <x:v>33u 1.8A</x:v>
      </x:c>
      <x:c r="E34" s="59" t="str">
        <x:v>Inductor_SMD:L_Bourns_SRR1260</x:v>
      </x:c>
      <x:c r="F34" s="60" t="n">
        <x:v>2</x:v>
      </x:c>
      <x:c r="G34" s="59" t="str">
        <x:v>L701, L702</x:v>
      </x:c>
      <x:c r="H34" s="59" t="str">
        <x:v>Allowance</x:v>
      </x:c>
      <x:c r="I34" s="61" t="n">
        <x:f>ROUND(SUMIF('Price Inputs'!$A$5:$A$139,C34,'Price Inputs'!$D$5:$D$139),2)</x:f>
        <x:v>35</x:v>
      </x:c>
      <x:c r="J34" s="61" t="n">
        <x:f>ROUND(F34*I34,2)</x:f>
        <x:v>70</x:v>
      </x:c>
      <x:c r="K34" s="61" t="n">
        <x:f>ROUND(SUMIF('Price Inputs'!$A$5:$A$139,C34,'Price Inputs'!$E$5:$E$139),2)</x:f>
        <x:v>24</x:v>
      </x:c>
      <x:c r="L34" s="61" t="n">
        <x:f>ROUND(F34*K34,2)</x:f>
        <x:v>48</x:v>
      </x:c>
      <x:c r="M34" s="59" t="str">
        <x:v>Estimate</x:v>
      </x:c>
    </x:row>
    <x:row r="35" ht="15" hidden="0" customHeight="1">
      <x:c r="A35" s="59" t="str">
        <x:v>ESC Rev-B</x:v>
      </x:c>
      <x:c r="B35" s="59" t="str">
        <x:v>Commodity / unspecified</x:v>
      </x:c>
      <x:c r="C35" s="59" t="str">
        <x:v>4.7k</x:v>
      </x:c>
      <x:c r="D35" s="59" t="str">
        <x:v>4.7k</x:v>
      </x:c>
      <x:c r="E35" s="59" t="str">
        <x:v>Resistor_SMD:R_0603_1608Metric</x:v>
      </x:c>
      <x:c r="F35" s="60" t="n">
        <x:v>6</x:v>
      </x:c>
      <x:c r="G35" s="59" t="str">
        <x:v>R1155, R1255, R1355, R1455, R1555, R1655</x:v>
      </x:c>
      <x:c r="H35" s="59" t="str">
        <x:v>Allowance</x:v>
      </x:c>
      <x:c r="I35" s="61" t="n">
        <x:f>ROUND(SUMIF('Price Inputs'!$A$5:$A$139,C35,'Price Inputs'!$D$5:$D$139),2)</x:f>
        <x:v>1.2</x:v>
      </x:c>
      <x:c r="J35" s="61" t="n">
        <x:f>ROUND(F35*I35,2)</x:f>
        <x:v>7.2</x:v>
      </x:c>
      <x:c r="K35" s="61" t="n">
        <x:f>ROUND(SUMIF('Price Inputs'!$A$5:$A$139,C35,'Price Inputs'!$E$5:$E$139),2)</x:f>
        <x:v>0.45</x:v>
      </x:c>
      <x:c r="L35" s="61" t="n">
        <x:f>ROUND(F35*K35,2)</x:f>
        <x:v>2.7</x:v>
      </x:c>
      <x:c r="M35" s="59" t="str">
        <x:v>Estimate</x:v>
      </x:c>
    </x:row>
    <x:row r="36" ht="15" hidden="0" customHeight="1">
      <x:c r="A36" s="59" t="str">
        <x:v>ESC Rev-B</x:v>
      </x:c>
      <x:c r="B36" s="59" t="str">
        <x:v>Commodity / unspecified</x:v>
      </x:c>
      <x:c r="C36" s="59" t="str">
        <x:v>4.7u</x:v>
      </x:c>
      <x:c r="D36" s="59" t="str">
        <x:v>4.7u</x:v>
      </x:c>
      <x:c r="E36" s="59" t="str">
        <x:v>Capacitor_SMD:C_0603_1608Metric</x:v>
      </x:c>
      <x:c r="F36" s="60" t="n">
        <x:v>6</x:v>
      </x:c>
      <x:c r="G36" s="59" t="str">
        <x:v>C1166, C1266, C1366, C1466, C1566, C1666</x:v>
      </x:c>
      <x:c r="H36" s="59" t="str">
        <x:v>Allowance</x:v>
      </x:c>
      <x:c r="I36" s="61" t="n">
        <x:f>ROUND(SUMIF('Price Inputs'!$A$5:$A$139,C36,'Price Inputs'!$D$5:$D$139),2)</x:f>
        <x:v>1.8</x:v>
      </x:c>
      <x:c r="J36" s="61" t="n">
        <x:f>ROUND(F36*I36,2)</x:f>
        <x:v>10.8</x:v>
      </x:c>
      <x:c r="K36" s="61" t="n">
        <x:f>ROUND(SUMIF('Price Inputs'!$A$5:$A$139,C36,'Price Inputs'!$E$5:$E$139),2)</x:f>
        <x:v>0.7</x:v>
      </x:c>
      <x:c r="L36" s="61" t="n">
        <x:f>ROUND(F36*K36,2)</x:f>
        <x:v>4.2</x:v>
      </x:c>
      <x:c r="M36" s="59" t="str">
        <x:v>Estimate</x:v>
      </x:c>
    </x:row>
    <x:row r="37" ht="15" hidden="0" customHeight="1">
      <x:c r="A37" s="59" t="str">
        <x:v>ESC Rev-B</x:v>
      </x:c>
      <x:c r="B37" s="59" t="str">
        <x:v>Commodity / unspecified</x:v>
      </x:c>
      <x:c r="C37" s="59" t="str">
        <x:v>4.7u</x:v>
      </x:c>
      <x:c r="D37" s="59" t="str">
        <x:v>4.7u</x:v>
      </x:c>
      <x:c r="E37" s="59" t="str">
        <x:v>Capacitor_SMD:C_0402_1005Metric</x:v>
      </x:c>
      <x:c r="F37" s="60" t="n">
        <x:v>4</x:v>
      </x:c>
      <x:c r="G37" s="59" t="str">
        <x:v>C201, C202, C203, C204</x:v>
      </x:c>
      <x:c r="H37" s="59" t="str">
        <x:v>Allowance</x:v>
      </x:c>
      <x:c r="I37" s="61" t="n">
        <x:f>ROUND(SUMIF('Price Inputs'!$A$5:$A$139,C37,'Price Inputs'!$D$5:$D$139),2)</x:f>
        <x:v>1.8</x:v>
      </x:c>
      <x:c r="J37" s="61" t="n">
        <x:f>ROUND(F37*I37,2)</x:f>
        <x:v>7.2</x:v>
      </x:c>
      <x:c r="K37" s="61" t="n">
        <x:f>ROUND(SUMIF('Price Inputs'!$A$5:$A$139,C37,'Price Inputs'!$E$5:$E$139),2)</x:f>
        <x:v>0.7</x:v>
      </x:c>
      <x:c r="L37" s="61" t="n">
        <x:f>ROUND(F37*K37,2)</x:f>
        <x:v>2.8</x:v>
      </x:c>
      <x:c r="M37" s="59" t="str">
        <x:v>Estimate</x:v>
      </x:c>
    </x:row>
    <x:row r="38" ht="15" hidden="0" customHeight="1">
      <x:c r="A38" s="59" t="str">
        <x:v>ESC Rev-B</x:v>
      </x:c>
      <x:c r="B38" s="59" t="str">
        <x:v>Commodity / unspecified</x:v>
      </x:c>
      <x:c r="C38" s="59" t="str">
        <x:v>41.2k 1%</x:v>
      </x:c>
      <x:c r="D38" s="59" t="str">
        <x:v>41.2k 1%</x:v>
      </x:c>
      <x:c r="E38" s="59" t="str">
        <x:v>Resistor_SMD:R_0603_1608Metric</x:v>
      </x:c>
      <x:c r="F38" s="60" t="n">
        <x:v>2</x:v>
      </x:c>
      <x:c r="G38" s="59" t="str">
        <x:v>R701, R710</x:v>
      </x:c>
      <x:c r="H38" s="59" t="str">
        <x:v>Allowance</x:v>
      </x:c>
      <x:c r="I38" s="61" t="n">
        <x:f>ROUND(SUMIF('Price Inputs'!$A$5:$A$139,C38,'Price Inputs'!$D$5:$D$139),2)</x:f>
        <x:v>1.2</x:v>
      </x:c>
      <x:c r="J38" s="61" t="n">
        <x:f>ROUND(F38*I38,2)</x:f>
        <x:v>2.4</x:v>
      </x:c>
      <x:c r="K38" s="61" t="n">
        <x:f>ROUND(SUMIF('Price Inputs'!$A$5:$A$139,C38,'Price Inputs'!$E$5:$E$139),2)</x:f>
        <x:v>0.45</x:v>
      </x:c>
      <x:c r="L38" s="61" t="n">
        <x:f>ROUND(F38*K38,2)</x:f>
        <x:v>0.9</x:v>
      </x:c>
      <x:c r="M38" s="59" t="str">
        <x:v>Estimate</x:v>
      </x:c>
    </x:row>
    <x:row r="39" ht="15" hidden="0" customHeight="1">
      <x:c r="A39" s="59" t="str">
        <x:v>ESC Rev-B</x:v>
      </x:c>
      <x:c r="B39" s="59" t="str">
        <x:v>Commodity / unspecified</x:v>
      </x:c>
      <x:c r="C39" s="59" t="str">
        <x:v>45.3k 1%</x:v>
      </x:c>
      <x:c r="D39" s="59" t="str">
        <x:v>45.3k 1%</x:v>
      </x:c>
      <x:c r="E39" s="59" t="str">
        <x:v>Resistor_SMD:R_0603_1608Metric</x:v>
      </x:c>
      <x:c r="F39" s="60" t="n">
        <x:v>2</x:v>
      </x:c>
      <x:c r="G39" s="59" t="str">
        <x:v>R702, R711</x:v>
      </x:c>
      <x:c r="H39" s="59" t="str">
        <x:v>Allowance</x:v>
      </x:c>
      <x:c r="I39" s="61" t="n">
        <x:f>ROUND(SUMIF('Price Inputs'!$A$5:$A$139,C39,'Price Inputs'!$D$5:$D$139),2)</x:f>
        <x:v>1.2</x:v>
      </x:c>
      <x:c r="J39" s="61" t="n">
        <x:f>ROUND(F39*I39,2)</x:f>
        <x:v>2.4</x:v>
      </x:c>
      <x:c r="K39" s="61" t="n">
        <x:f>ROUND(SUMIF('Price Inputs'!$A$5:$A$139,C39,'Price Inputs'!$E$5:$E$139),2)</x:f>
        <x:v>0.45</x:v>
      </x:c>
      <x:c r="L39" s="61" t="n">
        <x:f>ROUND(F39*K39,2)</x:f>
        <x:v>0.9</x:v>
      </x:c>
      <x:c r="M39" s="59" t="str">
        <x:v>Estimate</x:v>
      </x:c>
    </x:row>
    <x:row r="40" ht="15" hidden="0" customHeight="1">
      <x:c r="A40" s="59" t="str">
        <x:v>ESC Rev-B</x:v>
      </x:c>
      <x:c r="B40" s="59" t="str">
        <x:v>Commodity / unspecified</x:v>
      </x:c>
      <x:c r="C40" s="59" t="str">
        <x:v>47</x:v>
      </x:c>
      <x:c r="D40" s="59" t="str">
        <x:v>47</x:v>
      </x:c>
      <x:c r="E40" s="59" t="str">
        <x:v>Resistor_SMD:R_0603_1608Metric</x:v>
      </x:c>
      <x:c r="F40" s="60" t="n">
        <x:v>24</x:v>
      </x:c>
      <x:c r="G40" s="59" t="str">
        <x:v>R1130, R1131, R1132, R1133, R1230, R1231, R1232, R1233, R1330, R1331, R1332, R1333, R1430, R1431, R1432, R1433, R1530, R1531, R1532, R1533, R1630, R1631, R1632, R1633</x:v>
      </x:c>
      <x:c r="H40" s="59" t="str">
        <x:v>Allowance</x:v>
      </x:c>
      <x:c r="I40" s="61" t="n">
        <x:f>ROUND(SUMIF('Price Inputs'!$A$5:$A$139,C40,'Price Inputs'!$D$5:$D$139),2)</x:f>
        <x:v>1.2</x:v>
      </x:c>
      <x:c r="J40" s="61" t="n">
        <x:f>ROUND(F40*I40,2)</x:f>
        <x:v>28.8</x:v>
      </x:c>
      <x:c r="K40" s="61" t="n">
        <x:f>ROUND(SUMIF('Price Inputs'!$A$5:$A$139,C40,'Price Inputs'!$E$5:$E$139),2)</x:f>
        <x:v>0.45</x:v>
      </x:c>
      <x:c r="L40" s="61" t="n">
        <x:f>ROUND(F40*K40,2)</x:f>
        <x:v>10.8</x:v>
      </x:c>
      <x:c r="M40" s="59" t="str">
        <x:v>Estimate</x:v>
      </x:c>
    </x:row>
    <x:row r="41" ht="15" hidden="0" customHeight="1">
      <x:c r="A41" s="59" t="str">
        <x:v>ESC Rev-B</x:v>
      </x:c>
      <x:c r="B41" s="59" t="str">
        <x:v>Commodity / unspecified</x:v>
      </x:c>
      <x:c r="C41" s="59" t="str">
        <x:v>470p C0G</x:v>
      </x:c>
      <x:c r="D41" s="59" t="str">
        <x:v>470p C0G</x:v>
      </x:c>
      <x:c r="E41" s="59" t="str">
        <x:v>Capacitor_SMD:C_0603_1608Metric</x:v>
      </x:c>
      <x:c r="F41" s="60" t="n">
        <x:v>2</x:v>
      </x:c>
      <x:c r="G41" s="59" t="str">
        <x:v>C709, C716</x:v>
      </x:c>
      <x:c r="H41" s="59" t="str">
        <x:v>Allowance</x:v>
      </x:c>
      <x:c r="I41" s="61" t="n">
        <x:f>ROUND(SUMIF('Price Inputs'!$A$5:$A$139,C41,'Price Inputs'!$D$5:$D$139),2)</x:f>
        <x:v>3.5</x:v>
      </x:c>
      <x:c r="J41" s="61" t="n">
        <x:f>ROUND(F41*I41,2)</x:f>
        <x:v>7</x:v>
      </x:c>
      <x:c r="K41" s="61" t="n">
        <x:f>ROUND(SUMIF('Price Inputs'!$A$5:$A$139,C41,'Price Inputs'!$E$5:$E$139),2)</x:f>
        <x:v>1.5</x:v>
      </x:c>
      <x:c r="L41" s="61" t="n">
        <x:f>ROUND(F41*K41,2)</x:f>
        <x:v>3</x:v>
      </x:c>
      <x:c r="M41" s="59" t="str">
        <x:v>Estimate</x:v>
      </x:c>
    </x:row>
    <x:row r="42" ht="15" hidden="0" customHeight="1">
      <x:c r="A42" s="59" t="str">
        <x:v>ESC Rev-B</x:v>
      </x:c>
      <x:c r="B42" s="59" t="str">
        <x:v>Commodity / unspecified</x:v>
      </x:c>
      <x:c r="C42" s="59" t="str">
        <x:v>47n 100V</x:v>
      </x:c>
      <x:c r="D42" s="59" t="str">
        <x:v>47n 100V</x:v>
      </x:c>
      <x:c r="E42" s="59" t="str">
        <x:v>Capacitor_SMD:C_0603_1608Metric</x:v>
      </x:c>
      <x:c r="F42" s="60" t="n">
        <x:v>6</x:v>
      </x:c>
      <x:c r="G42" s="59" t="str">
        <x:v>C1101, C1201, C1301, C1401, C1501, C1601</x:v>
      </x:c>
      <x:c r="H42" s="59" t="str">
        <x:v>Allowance</x:v>
      </x:c>
      <x:c r="I42" s="61" t="n">
        <x:f>ROUND(SUMIF('Price Inputs'!$A$5:$A$139,C42,'Price Inputs'!$D$5:$D$139),2)</x:f>
        <x:v>8</x:v>
      </x:c>
      <x:c r="J42" s="61" t="n">
        <x:f>ROUND(F42*I42,2)</x:f>
        <x:v>48</x:v>
      </x:c>
      <x:c r="K42" s="61" t="n">
        <x:f>ROUND(SUMIF('Price Inputs'!$A$5:$A$139,C42,'Price Inputs'!$E$5:$E$139),2)</x:f>
        <x:v>4</x:v>
      </x:c>
      <x:c r="L42" s="61" t="n">
        <x:f>ROUND(F42*K42,2)</x:f>
        <x:v>24</x:v>
      </x:c>
      <x:c r="M42" s="59" t="str">
        <x:v>Estimate</x:v>
      </x:c>
    </x:row>
    <x:row r="43" ht="15" hidden="0" customHeight="1">
      <x:c r="A43" s="59" t="str">
        <x:v>ESC Rev-B</x:v>
      </x:c>
      <x:c r="B43" s="59" t="str">
        <x:v>Commodity / unspecified</x:v>
      </x:c>
      <x:c r="C43" s="59" t="str">
        <x:v>68k</x:v>
      </x:c>
      <x:c r="D43" s="59" t="str">
        <x:v>68k</x:v>
      </x:c>
      <x:c r="E43" s="59" t="str">
        <x:v>Resistor_SMD:R_0603_1608Metric</x:v>
      </x:c>
      <x:c r="F43" s="60" t="n">
        <x:v>6</x:v>
      </x:c>
      <x:c r="G43" s="59" t="str">
        <x:v>R1159, R1259, R1359, R1459, R1559, R1659</x:v>
      </x:c>
      <x:c r="H43" s="59" t="str">
        <x:v>Allowance</x:v>
      </x:c>
      <x:c r="I43" s="61" t="n">
        <x:f>ROUND(SUMIF('Price Inputs'!$A$5:$A$139,C43,'Price Inputs'!$D$5:$D$139),2)</x:f>
        <x:v>1.2</x:v>
      </x:c>
      <x:c r="J43" s="61" t="n">
        <x:f>ROUND(F43*I43,2)</x:f>
        <x:v>7.2</x:v>
      </x:c>
      <x:c r="K43" s="61" t="n">
        <x:f>ROUND(SUMIF('Price Inputs'!$A$5:$A$139,C43,'Price Inputs'!$E$5:$E$139),2)</x:f>
        <x:v>0.45</x:v>
      </x:c>
      <x:c r="L43" s="61" t="n">
        <x:f>ROUND(F43*K43,2)</x:f>
        <x:v>2.7</x:v>
      </x:c>
      <x:c r="M43" s="59" t="str">
        <x:v>Estimate</x:v>
      </x:c>
    </x:row>
    <x:row r="44" ht="15" hidden="0" customHeight="1">
      <x:c r="A44" s="59" t="str">
        <x:v>ESC Rev-B</x:v>
      </x:c>
      <x:c r="B44" s="59" t="str">
        <x:v>Commodity / unspecified</x:v>
      </x:c>
      <x:c r="C44" s="59" t="str">
        <x:v>ESC_SWD</x:v>
      </x:c>
      <x:c r="D44" s="59" t="str">
        <x:v>ESC_SWD</x:v>
      </x:c>
      <x:c r="E44" s="59" t="str">
        <x:v>Connector_JST:JST_SH_SM03B-SRSS-TB_1x03-1MP_P1.00mm_Horizontal</x:v>
      </x:c>
      <x:c r="F44" s="60" t="n">
        <x:v>1</x:v>
      </x:c>
      <x:c r="G44" s="59" t="str">
        <x:v>J201</x:v>
      </x:c>
      <x:c r="H44" s="59" t="str">
        <x:v>Allowance</x:v>
      </x:c>
      <x:c r="I44" s="61" t="n">
        <x:f>ROUND(SUMIF('Price Inputs'!$A$5:$A$139,C44,'Price Inputs'!$D$5:$D$139),2)</x:f>
        <x:v>80</x:v>
      </x:c>
      <x:c r="J44" s="61" t="n">
        <x:f>ROUND(F44*I44,2)</x:f>
        <x:v>80</x:v>
      </x:c>
      <x:c r="K44" s="61" t="n">
        <x:f>ROUND(SUMIF('Price Inputs'!$A$5:$A$139,C44,'Price Inputs'!$E$5:$E$139),2)</x:f>
        <x:v>55</x:v>
      </x:c>
      <x:c r="L44" s="61" t="n">
        <x:f>ROUND(F44*K44,2)</x:f>
        <x:v>55</x:v>
      </x:c>
      <x:c r="M44" s="59" t="str">
        <x:v>Estimate</x:v>
      </x:c>
    </x:row>
    <x:row r="45" ht="15" hidden="0" customHeight="1">
      <x:c r="A45" s="59" t="str">
        <x:v>ESC Rev-B</x:v>
      </x:c>
      <x:c r="B45" s="59" t="str">
        <x:v>Commodity / unspecified</x:v>
      </x:c>
      <x:c r="C45" s="59" t="str">
        <x:v>GREEN</x:v>
      </x:c>
      <x:c r="D45" s="59" t="str">
        <x:v>GREEN</x:v>
      </x:c>
      <x:c r="E45" s="59" t="str">
        <x:v>LED_SMD:LED_0603_1608Metric</x:v>
      </x:c>
      <x:c r="F45" s="60" t="n">
        <x:v>7</x:v>
      </x:c>
      <x:c r="G45" s="59" t="str">
        <x:v>D1102, D1202, D1302, D1402, D1502, D1602, D201</x:v>
      </x:c>
      <x:c r="H45" s="59" t="str">
        <x:v>Allowance</x:v>
      </x:c>
      <x:c r="I45" s="61" t="n">
        <x:f>ROUND(SUMIF('Price Inputs'!$A$5:$A$139,C45,'Price Inputs'!$D$5:$D$139),2)</x:f>
        <x:v>7</x:v>
      </x:c>
      <x:c r="J45" s="61" t="n">
        <x:f>ROUND(F45*I45,2)</x:f>
        <x:v>49</x:v>
      </x:c>
      <x:c r="K45" s="61" t="n">
        <x:f>ROUND(SUMIF('Price Inputs'!$A$5:$A$139,C45,'Price Inputs'!$E$5:$E$139),2)</x:f>
        <x:v>4</x:v>
      </x:c>
      <x:c r="L45" s="61" t="n">
        <x:f>ROUND(F45*K45,2)</x:f>
        <x:v>28</x:v>
      </x:c>
      <x:c r="M45" s="59" t="str">
        <x:v>Estimate</x:v>
      </x:c>
    </x:row>
    <x:row r="46" ht="15" hidden="0" customHeight="1">
      <x:c r="A46" s="59" t="str">
        <x:v>ESC Rev-B</x:v>
      </x:c>
      <x:c r="B46" s="59" t="str">
        <x:v>Commodity / unspecified</x:v>
      </x:c>
      <x:c r="C46" s="59" t="str">
        <x:v>LOCAL_SWD</x:v>
      </x:c>
      <x:c r="D46" s="59" t="str">
        <x:v>LOCAL_SWD</x:v>
      </x:c>
      <x:c r="E46" s="59" t="str">
        <x:v>Connector_PinHeader_1.27mm:PinHeader_1x05_P1.27mm_Vertical</x:v>
      </x:c>
      <x:c r="F46" s="60" t="n">
        <x:v>6</x:v>
      </x:c>
      <x:c r="G46" s="59" t="str">
        <x:v>J1103, J1203, J1303, J1403, J1503, J1603</x:v>
      </x:c>
      <x:c r="H46" s="59" t="str">
        <x:v>Allowance</x:v>
      </x:c>
      <x:c r="I46" s="61" t="n">
        <x:f>ROUND(SUMIF('Price Inputs'!$A$5:$A$139,C46,'Price Inputs'!$D$5:$D$139),2)</x:f>
        <x:v>80</x:v>
      </x:c>
      <x:c r="J46" s="61" t="n">
        <x:f>ROUND(F46*I46,2)</x:f>
        <x:v>480</x:v>
      </x:c>
      <x:c r="K46" s="61" t="n">
        <x:f>ROUND(SUMIF('Price Inputs'!$A$5:$A$139,C46,'Price Inputs'!$E$5:$E$139),2)</x:f>
        <x:v>55</x:v>
      </x:c>
      <x:c r="L46" s="61" t="n">
        <x:f>ROUND(F46*K46,2)</x:f>
        <x:v>330</x:v>
      </x:c>
      <x:c r="M46" s="59" t="str">
        <x:v>Estimate</x:v>
      </x:c>
    </x:row>
    <x:row r="47" ht="15" hidden="0" customHeight="1">
      <x:c r="A47" s="59" t="str">
        <x:v>ESC Rev-B</x:v>
      </x:c>
      <x:c r="B47" s="59" t="str">
        <x:v>Abracon</x:v>
      </x:c>
      <x:c r="C47" s="59" t="str">
        <x:v>ABM8-272-T3</x:v>
      </x:c>
      <x:c r="D47" s="59" t="str">
        <x:v>12MHz ABM8-272-T3</x:v>
      </x:c>
      <x:c r="E47" s="59" t="str">
        <x:v>Crystal:Crystal_SMD_3225-4Pin_3.2x2.5mm</x:v>
      </x:c>
      <x:c r="F47" s="60" t="n">
        <x:v>1</x:v>
      </x:c>
      <x:c r="G47" s="59" t="str">
        <x:v>Y201</x:v>
      </x:c>
      <x:c r="H47" s="59" t="str">
        <x:v>Allowance</x:v>
      </x:c>
      <x:c r="I47" s="61" t="n">
        <x:f>ROUND(SUMIF('Price Inputs'!$A$5:$A$139,C47,'Price Inputs'!$D$5:$D$139),2)</x:f>
        <x:v>55</x:v>
      </x:c>
      <x:c r="J47" s="61" t="n">
        <x:f>ROUND(F47*I47,2)</x:f>
        <x:v>55</x:v>
      </x:c>
      <x:c r="K47" s="61" t="n">
        <x:f>ROUND(SUMIF('Price Inputs'!$A$5:$A$139,C47,'Price Inputs'!$E$5:$E$139),2)</x:f>
        <x:v>38</x:v>
      </x:c>
      <x:c r="L47" s="61" t="n">
        <x:f>ROUND(F47*K47,2)</x:f>
        <x:v>38</x:v>
      </x:c>
      <x:c r="M47" s="59" t="str">
        <x:v>Estimate</x:v>
      </x:c>
    </x:row>
    <x:row r="48" ht="15" hidden="0" customHeight="1">
      <x:c r="A48" s="59" t="str">
        <x:v>ESC Rev-B</x:v>
      </x:c>
      <x:c r="B48" s="59" t="str">
        <x:v>Abracon</x:v>
      </x:c>
      <x:c r="C48" s="59" t="str">
        <x:v>ABM8G-40.000MHZ-10-D2Y-T</x:v>
      </x:c>
      <x:c r="D48" s="59" t="str">
        <x:v>40MHz ABM8G</x:v>
      </x:c>
      <x:c r="E48" s="59" t="str">
        <x:v>Crystal:Crystal_SMD_3225-4Pin_3.2x2.5mm</x:v>
      </x:c>
      <x:c r="F48" s="60" t="n">
        <x:v>1</x:v>
      </x:c>
      <x:c r="G48" s="59" t="str">
        <x:v>Y202</x:v>
      </x:c>
      <x:c r="H48" s="59" t="str">
        <x:v>Allowance</x:v>
      </x:c>
      <x:c r="I48" s="61" t="n">
        <x:f>ROUND(SUMIF('Price Inputs'!$A$5:$A$139,C48,'Price Inputs'!$D$5:$D$139),2)</x:f>
        <x:v>65</x:v>
      </x:c>
      <x:c r="J48" s="61" t="n">
        <x:f>ROUND(F48*I48,2)</x:f>
        <x:v>65</x:v>
      </x:c>
      <x:c r="K48" s="61" t="n">
        <x:f>ROUND(SUMIF('Price Inputs'!$A$5:$A$139,C48,'Price Inputs'!$E$5:$E$139),2)</x:f>
        <x:v>45</x:v>
      </x:c>
      <x:c r="L48" s="61" t="n">
        <x:f>ROUND(F48*K48,2)</x:f>
        <x:v>45</x:v>
      </x:c>
      <x:c r="M48" s="59" t="str">
        <x:v>Estimate</x:v>
      </x:c>
    </x:row>
    <x:row r="49" ht="15" hidden="0" customHeight="1">
      <x:c r="A49" s="59" t="str">
        <x:v>ESC Rev-B</x:v>
      </x:c>
      <x:c r="B49" s="59" t="str">
        <x:v>Abracon</x:v>
      </x:c>
      <x:c r="C49" s="59" t="str">
        <x:v>ABM8G-8.000MHZ-18-D2Y-T</x:v>
      </x:c>
      <x:c r="D49" s="59" t="str">
        <x:v>8MHz ABM8G</x:v>
      </x:c>
      <x:c r="E49" s="59" t="str">
        <x:v>Crystal:Crystal_SMD_3225-4Pin_3.2x2.5mm</x:v>
      </x:c>
      <x:c r="F49" s="60" t="n">
        <x:v>6</x:v>
      </x:c>
      <x:c r="G49" s="59" t="str">
        <x:v>Y1101, Y1201, Y1301, Y1401, Y1501, Y1601</x:v>
      </x:c>
      <x:c r="H49" s="59" t="str">
        <x:v>Allowance</x:v>
      </x:c>
      <x:c r="I49" s="61" t="n">
        <x:f>ROUND(SUMIF('Price Inputs'!$A$5:$A$139,C49,'Price Inputs'!$D$5:$D$139),2)</x:f>
        <x:v>55</x:v>
      </x:c>
      <x:c r="J49" s="61" t="n">
        <x:f>ROUND(F49*I49,2)</x:f>
        <x:v>330</x:v>
      </x:c>
      <x:c r="K49" s="61" t="n">
        <x:f>ROUND(SUMIF('Price Inputs'!$A$5:$A$139,C49,'Price Inputs'!$E$5:$E$139),2)</x:f>
        <x:v>38</x:v>
      </x:c>
      <x:c r="L49" s="61" t="n">
        <x:f>ROUND(F49*K49,2)</x:f>
        <x:v>228</x:v>
      </x:c>
      <x:c r="M49" s="59" t="str">
        <x:v>Estimate</x:v>
      </x:c>
    </x:row>
    <x:row r="50" ht="15" hidden="0" customHeight="1">
      <x:c r="A50" s="59" t="str">
        <x:v>ESC Rev-B</x:v>
      </x:c>
      <x:c r="B50" s="59" t="str">
        <x:v>Abracon</x:v>
      </x:c>
      <x:c r="C50" s="59" t="str">
        <x:v>AOTA-B201610S3R3-101-T</x:v>
      </x:c>
      <x:c r="D50" s="59" t="str">
        <x:v>3.3u AOTA-B201610S3R3-101-T</x:v>
      </x:c>
      <x:c r="E50" s="59" t="str">
        <x:v>Inductor_SMD:L_0805_2012Metric</x:v>
      </x:c>
      <x:c r="F50" s="60" t="n">
        <x:v>1</x:v>
      </x:c>
      <x:c r="G50" s="59" t="str">
        <x:v>L201</x:v>
      </x:c>
      <x:c r="H50" s="59" t="str">
        <x:v>Allowance</x:v>
      </x:c>
      <x:c r="I50" s="61" t="n">
        <x:f>ROUND(SUMIF('Price Inputs'!$A$5:$A$139,C50,'Price Inputs'!$D$5:$D$139),2)</x:f>
        <x:v>75</x:v>
      </x:c>
      <x:c r="J50" s="61" t="n">
        <x:f>ROUND(F50*I50,2)</x:f>
        <x:v>75</x:v>
      </x:c>
      <x:c r="K50" s="61" t="n">
        <x:f>ROUND(SUMIF('Price Inputs'!$A$5:$A$139,C50,'Price Inputs'!$E$5:$E$139),2)</x:f>
        <x:v>52</x:v>
      </x:c>
      <x:c r="L50" s="61" t="n">
        <x:f>ROUND(F50*K50,2)</x:f>
        <x:v>52</x:v>
      </x:c>
      <x:c r="M50" s="59" t="str">
        <x:v>Estimate</x:v>
      </x:c>
    </x:row>
    <x:row r="51" ht="15" hidden="0" customHeight="1">
      <x:c r="A51" s="59" t="str">
        <x:v>ESC Rev-B</x:v>
      </x:c>
      <x:c r="B51" s="59" t="str">
        <x:v>Bourns</x:v>
      </x:c>
      <x:c r="C51" s="59" t="str">
        <x:v>CSS4J-4026R-L500F</x:v>
      </x:c>
      <x:c r="D51" s="59" t="str">
        <x:v>0.5m 1% 5W</x:v>
      </x:c>
      <x:c r="E51" s="59" t="str">
        <x:v>revb:CSS4J-4026_Kelvin</x:v>
      </x:c>
      <x:c r="F51" s="60" t="n">
        <x:v>24</x:v>
      </x:c>
      <x:c r="G51" s="59" t="str">
        <x:v>R1120, R1121, R1122, R1123, R1220, R1221, R1222, R1223, R1320, R1321, R1322, R1323, R1420, R1421, R1422, R1423, R1520, R1521, R1522, R1523, R1620, R1621, R1622, R1623</x:v>
      </x:c>
      <x:c r="H51" s="59" t="str">
        <x:v>Qty 24 / 240</x:v>
      </x:c>
      <x:c r="I51" s="61" t="n">
        <x:f>ROUND(SUMIF('Price Inputs'!$A$5:$A$139,C51,'Price Inputs'!$D$5:$D$139),2)</x:f>
        <x:v>110.5</x:v>
      </x:c>
      <x:c r="J51" s="61" t="n">
        <x:f>ROUND(F51*I51,2)</x:f>
        <x:v>2652</x:v>
      </x:c>
      <x:c r="K51" s="61" t="n">
        <x:f>ROUND(SUMIF('Price Inputs'!$A$5:$A$139,C51,'Price Inputs'!$E$5:$E$139),2)</x:f>
        <x:v>82.65</x:v>
      </x:c>
      <x:c r="L51" s="61" t="n">
        <x:f>ROUND(F51*K51,2)</x:f>
        <x:v>1983.6</x:v>
      </x:c>
      <x:c r="M51" s="59" t="str">
        <x:v>Live/official</x:v>
      </x:c>
    </x:row>
    <x:row r="52" ht="15" hidden="0" customHeight="1">
      <x:c r="A52" s="59" t="str">
        <x:v>ESC Rev-B</x:v>
      </x:c>
      <x:c r="B52" s="59" t="str">
        <x:v>Diodes Inc.</x:v>
      </x:c>
      <x:c r="C52" s="59" t="str">
        <x:v>AP2112K-3.3TRG1</x:v>
      </x:c>
      <x:c r="D52" s="59" t="str">
        <x:v>AP2112K-3.3TRG1</x:v>
      </x:c>
      <x:c r="E52" s="59" t="str">
        <x:v>Package_TO_SOT_SMD:SOT-23-5</x:v>
      </x:c>
      <x:c r="F52" s="60" t="n">
        <x:v>1</x:v>
      </x:c>
      <x:c r="G52" s="59" t="str">
        <x:v>U702</x:v>
      </x:c>
      <x:c r="H52" s="59" t="str">
        <x:v>Allowance</x:v>
      </x:c>
      <x:c r="I52" s="61" t="n">
        <x:f>ROUND(SUMIF('Price Inputs'!$A$5:$A$139,C52,'Price Inputs'!$D$5:$D$139),2)</x:f>
        <x:v>22</x:v>
      </x:c>
      <x:c r="J52" s="61" t="n">
        <x:f>ROUND(F52*I52,2)</x:f>
        <x:v>22</x:v>
      </x:c>
      <x:c r="K52" s="61" t="n">
        <x:f>ROUND(SUMIF('Price Inputs'!$A$5:$A$139,C52,'Price Inputs'!$E$5:$E$139),2)</x:f>
        <x:v>12</x:v>
      </x:c>
      <x:c r="L52" s="61" t="n">
        <x:f>ROUND(F52*K52,2)</x:f>
        <x:v>12</x:v>
      </x:c>
      <x:c r="M52" s="59" t="str">
        <x:v>Estimate</x:v>
      </x:c>
    </x:row>
    <x:row r="53" ht="15" hidden="0" customHeight="1">
      <x:c r="A53" s="59" t="str">
        <x:v>ESC Rev-B</x:v>
      </x:c>
      <x:c r="B53" s="59" t="str">
        <x:v>Generic</x:v>
      </x:c>
      <x:c r="C53" s="59" t="str">
        <x:v>M5_RING_LUG_PAIR</x:v>
      </x:c>
      <x:c r="D53" s="59" t="str">
        <x:v>FUSED_BATTERY_TAP</x:v>
      </x:c>
      <x:c r="E53" s="59" t="str">
        <x:v>revb:POWER_LUG_M5_2P_P20</x:v>
      </x:c>
      <x:c r="F53" s="60" t="n">
        <x:v>6</x:v>
      </x:c>
      <x:c r="G53" s="59" t="str">
        <x:v>J1101, J1201, J1301, J1401, J1501, J1601</x:v>
      </x:c>
      <x:c r="H53" s="59" t="str">
        <x:v>Allowance</x:v>
      </x:c>
      <x:c r="I53" s="61" t="n">
        <x:f>ROUND(SUMIF('Price Inputs'!$A$5:$A$139,C53,'Price Inputs'!$D$5:$D$139),2)</x:f>
        <x:v>180</x:v>
      </x:c>
      <x:c r="J53" s="61" t="n">
        <x:f>ROUND(F53*I53,2)</x:f>
        <x:v>1080</x:v>
      </x:c>
      <x:c r="K53" s="61" t="n">
        <x:f>ROUND(SUMIF('Price Inputs'!$A$5:$A$139,C53,'Price Inputs'!$E$5:$E$139),2)</x:f>
        <x:v>130</x:v>
      </x:c>
      <x:c r="L53" s="61" t="n">
        <x:f>ROUND(F53*K53,2)</x:f>
        <x:v>780</x:v>
      </x:c>
      <x:c r="M53" s="59" t="str">
        <x:v>Estimate</x:v>
      </x:c>
    </x:row>
    <x:row r="54" ht="15" hidden="0" customHeight="1">
      <x:c r="A54" s="59" t="str">
        <x:v>ESC Rev-B</x:v>
      </x:c>
      <x:c r="B54" s="59" t="str">
        <x:v>Generic</x:v>
      </x:c>
      <x:c r="C54" s="59" t="str">
        <x:v>M5_RING_LUG_TRIPLE</x:v>
      </x:c>
      <x:c r="D54" s="59" t="str">
        <x:v>MOTOR_PHASES</x:v>
      </x:c>
      <x:c r="E54" s="59" t="str">
        <x:v>revb:POWER_LUG_M5_3P_P20</x:v>
      </x:c>
      <x:c r="F54" s="60" t="n">
        <x:v>6</x:v>
      </x:c>
      <x:c r="G54" s="59" t="str">
        <x:v>J1102, J1202, J1302, J1402, J1502, J1602</x:v>
      </x:c>
      <x:c r="H54" s="59" t="str">
        <x:v>Allowance</x:v>
      </x:c>
      <x:c r="I54" s="61" t="n">
        <x:f>ROUND(SUMIF('Price Inputs'!$A$5:$A$139,C54,'Price Inputs'!$D$5:$D$139),2)</x:f>
        <x:v>260</x:v>
      </x:c>
      <x:c r="J54" s="61" t="n">
        <x:f>ROUND(F54*I54,2)</x:f>
        <x:v>1560</x:v>
      </x:c>
      <x:c r="K54" s="61" t="n">
        <x:f>ROUND(SUMIF('Price Inputs'!$A$5:$A$139,C54,'Price Inputs'!$E$5:$E$139),2)</x:f>
        <x:v>190</x:v>
      </x:c>
      <x:c r="L54" s="61" t="n">
        <x:f>ROUND(F54*K54,2)</x:f>
        <x:v>1140</x:v>
      </x:c>
      <x:c r="M54" s="59" t="str">
        <x:v>Estimate</x:v>
      </x:c>
    </x:row>
    <x:row r="55" ht="15" hidden="0" customHeight="1">
      <x:c r="A55" s="59" t="str">
        <x:v>ESC Rev-B</x:v>
      </x:c>
      <x:c r="B55" s="59" t="str">
        <x:v>Infineon</x:v>
      </x:c>
      <x:c r="C55" s="59" t="str">
        <x:v>IPTC014N10NM5ATMA1</x:v>
      </x:c>
      <x:c r="D55" s="59" t="str">
        <x:v>IPTC014N10NM5</x:v>
      </x:c>
      <x:c r="E55" s="59" t="str">
        <x:v>revb:PG-HDSOP-16_TOLT_IPTC</x:v>
      </x:c>
      <x:c r="F55" s="60" t="n">
        <x:v>36</x:v>
      </x:c>
      <x:c r="G55" s="59" t="str">
        <x:v>Q1101, Q1102, Q1103, Q1104, Q1105, Q1106, Q1201, Q1202, Q1203, Q1204, Q1205, Q1206, Q1301, Q1302, Q1303, Q1304, Q1305, Q1306, Q1401, Q1402, Q1403, Q1404, Q1405, Q1406, Q1501, Q1502, Q1503, Q1504, Q1505, Q1506, Q1601, Q1602, Q1603, Q1604, Q1605, Q1606</x:v>
      </x:c>
      <x:c r="H55" s="59" t="str">
        <x:v>Qty 36 / 360</x:v>
      </x:c>
      <x:c r="I55" s="61" t="n">
        <x:f>ROUND(SUMIF('Price Inputs'!$A$5:$A$139,C55,'Price Inputs'!$D$5:$D$139),2)</x:f>
        <x:v>385.77</x:v>
      </x:c>
      <x:c r="J55" s="61" t="n">
        <x:f>ROUND(F55*I55,2)</x:f>
        <x:v>13887.72</x:v>
      </x:c>
      <x:c r="K55" s="61" t="n">
        <x:f>ROUND(SUMIF('Price Inputs'!$A$5:$A$139,C55,'Price Inputs'!$E$5:$E$139),2)</x:f>
        <x:v>278.61</x:v>
      </x:c>
      <x:c r="L55" s="61" t="n">
        <x:f>ROUND(F55*K55,2)</x:f>
        <x:v>10029.96</x:v>
      </x:c>
      <x:c r="M55" s="59" t="str">
        <x:v>Live/official</x:v>
      </x:c>
    </x:row>
    <x:row r="56" ht="15" hidden="0" customHeight="1">
      <x:c r="A56" s="59" t="str">
        <x:v>ESC Rev-B</x:v>
      </x:c>
      <x:c r="B56" s="59" t="str">
        <x:v>JST</x:v>
      </x:c>
      <x:c r="C56" s="59" t="str">
        <x:v>SM04B-GHS-TB</x:v>
      </x:c>
      <x:c r="D56" s="59" t="str">
        <x:v>FLIGHT_CAN_POWER</x:v>
      </x:c>
      <x:c r="E56" s="59" t="str">
        <x:v>Connector_JST:JST_GH_SM04B-GHS-TB_1x04-1MP_P1.25mm_Horizontal</x:v>
      </x:c>
      <x:c r="F56" s="60" t="n">
        <x:v>1</x:v>
      </x:c>
      <x:c r="G56" s="59" t="str">
        <x:v>J702</x:v>
      </x:c>
      <x:c r="H56" s="59" t="str">
        <x:v>Allowance</x:v>
      </x:c>
      <x:c r="I56" s="61" t="n">
        <x:f>ROUND(SUMIF('Price Inputs'!$A$5:$A$139,C56,'Price Inputs'!$D$5:$D$139),2)</x:f>
        <x:v>42</x:v>
      </x:c>
      <x:c r="J56" s="61" t="n">
        <x:f>ROUND(F56*I56,2)</x:f>
        <x:v>42</x:v>
      </x:c>
      <x:c r="K56" s="61" t="n">
        <x:f>ROUND(SUMIF('Price Inputs'!$A$5:$A$139,C56,'Price Inputs'!$E$5:$E$139),2)</x:f>
        <x:v>28</x:v>
      </x:c>
      <x:c r="L56" s="61" t="n">
        <x:f>ROUND(F56*K56,2)</x:f>
        <x:v>28</x:v>
      </x:c>
      <x:c r="M56" s="59" t="str">
        <x:v>Estimate</x:v>
      </x:c>
    </x:row>
    <x:row r="57" ht="15" hidden="0" customHeight="1">
      <x:c r="A57" s="59" t="str">
        <x:v>ESC Rev-B</x:v>
      </x:c>
      <x:c r="B57" s="59" t="str">
        <x:v>Littelfuse</x:v>
      </x:c>
      <x:c r="C57" s="59" t="str">
        <x:v>1206L075/24WR</x:v>
      </x:c>
      <x:c r="D57" s="59" t="str">
        <x:v>PTC 0.75A</x:v>
      </x:c>
      <x:c r="E57" s="59" t="str">
        <x:v>Fuse:Fuse_1206_3216Metric</x:v>
      </x:c>
      <x:c r="F57" s="60" t="n">
        <x:v>1</x:v>
      </x:c>
      <x:c r="G57" s="59" t="str">
        <x:v>F701</x:v>
      </x:c>
      <x:c r="H57" s="59" t="str">
        <x:v>Allowance</x:v>
      </x:c>
      <x:c r="I57" s="61" t="n">
        <x:f>ROUND(SUMIF('Price Inputs'!$A$5:$A$139,C57,'Price Inputs'!$D$5:$D$139),2)</x:f>
        <x:v>30</x:v>
      </x:c>
      <x:c r="J57" s="61" t="n">
        <x:f>ROUND(F57*I57,2)</x:f>
        <x:v>30</x:v>
      </x:c>
      <x:c r="K57" s="61" t="n">
        <x:f>ROUND(SUMIF('Price Inputs'!$A$5:$A$139,C57,'Price Inputs'!$E$5:$E$139),2)</x:f>
        <x:v>20</x:v>
      </x:c>
      <x:c r="L57" s="61" t="n">
        <x:f>ROUND(F57*K57,2)</x:f>
        <x:v>20</x:v>
      </x:c>
      <x:c r="M57" s="59" t="str">
        <x:v>Estimate</x:v>
      </x:c>
    </x:row>
    <x:row r="58" ht="15" hidden="0" customHeight="1">
      <x:c r="A58" s="59" t="str">
        <x:v>ESC Rev-B</x:v>
      </x:c>
      <x:c r="B58" s="59" t="str">
        <x:v>Littelfuse</x:v>
      </x:c>
      <x:c r="C58" s="59" t="str">
        <x:v>SM8S51A</x:v>
      </x:c>
      <x:c r="D58" s="59" t="str">
        <x:v>SM8S51A</x:v>
      </x:c>
      <x:c r="E58" s="59" t="str">
        <x:v>revb:DO-218AB_SM8S</x:v>
      </x:c>
      <x:c r="F58" s="60" t="n">
        <x:v>7</x:v>
      </x:c>
      <x:c r="G58" s="59" t="str">
        <x:v>D1101, D1201, D1301, D1401, D1501, D1601, D701</x:v>
      </x:c>
      <x:c r="H58" s="59" t="str">
        <x:v>Qty 7 / 70</x:v>
      </x:c>
      <x:c r="I58" s="61" t="n">
        <x:f>ROUND(SUMIF('Price Inputs'!$A$5:$A$139,C58,'Price Inputs'!$D$5:$D$139),2)</x:f>
        <x:v>383.71</x:v>
      </x:c>
      <x:c r="J58" s="61" t="n">
        <x:f>ROUND(F58*I58,2)</x:f>
        <x:v>2685.97</x:v>
      </x:c>
      <x:c r="K58" s="61" t="n">
        <x:f>ROUND(SUMIF('Price Inputs'!$A$5:$A$139,C58,'Price Inputs'!$E$5:$E$139),2)</x:f>
        <x:v>251.59</x:v>
      </x:c>
      <x:c r="L58" s="61" t="n">
        <x:f>ROUND(F58*K58,2)</x:f>
        <x:v>1761.13</x:v>
      </x:c>
      <x:c r="M58" s="59" t="str">
        <x:v>Live/official</x:v>
      </x:c>
    </x:row>
    <x:row r="59" ht="15" hidden="0" customHeight="1">
      <x:c r="A59" s="59" t="str">
        <x:v>ESC Rev-B</x:v>
      </x:c>
      <x:c r="B59" s="59" t="str">
        <x:v>Microchip</x:v>
      </x:c>
      <x:c r="C59" s="59" t="str">
        <x:v>MCP2518FD-H/QBB</x:v>
      </x:c>
      <x:c r="D59" s="59" t="str">
        <x:v>MCP2518FD-H/QBB</x:v>
      </x:c>
      <x:c r="E59" s="59" t="str">
        <x:v>Package_DFN_QFN:DFN-14-1EP_3x4.5mm_P0.65mm_EP1.65x4.25mm</x:v>
      </x:c>
      <x:c r="F59" s="60" t="n">
        <x:v>1</x:v>
      </x:c>
      <x:c r="G59" s="59" t="str">
        <x:v>U207</x:v>
      </x:c>
      <x:c r="H59" s="59" t="str">
        <x:v>Qty 2 / 20</x:v>
      </x:c>
      <x:c r="I59" s="61" t="n">
        <x:f>ROUND(SUMIF('Price Inputs'!$A$5:$A$139,C59,'Price Inputs'!$D$5:$D$139),2)</x:f>
        <x:v>191.95</x:v>
      </x:c>
      <x:c r="J59" s="61" t="n">
        <x:f>ROUND(F59*I59,2)</x:f>
        <x:v>191.95</x:v>
      </x:c>
      <x:c r="K59" s="61" t="n">
        <x:f>ROUND(SUMIF('Price Inputs'!$A$5:$A$139,C59,'Price Inputs'!$E$5:$E$139),2)</x:f>
        <x:v>191.95</x:v>
      </x:c>
      <x:c r="L59" s="61" t="n">
        <x:f>ROUND(F59*K59,2)</x:f>
        <x:v>191.95</x:v>
      </x:c>
      <x:c r="M59" s="59" t="str">
        <x:v>Live/official</x:v>
      </x:c>
    </x:row>
    <x:row r="60" ht="15" hidden="0" customHeight="1">
      <x:c r="A60" s="59" t="str">
        <x:v>ESC Rev-B</x:v>
      </x:c>
      <x:c r="B60" s="59" t="str">
        <x:v>Molex</x:v>
      </x:c>
      <x:c r="C60" s="59" t="str">
        <x:v>43650-0200</x:v>
      </x:c>
      <x:c r="D60" s="59" t="str">
        <x:v>AUX_BATTERY</x:v>
      </x:c>
      <x:c r="E60" s="59" t="str">
        <x:v>Connector_Molex:Molex_Micro-Fit_3.0_43650-0200_1x02_P3.00mm_Horizontal</x:v>
      </x:c>
      <x:c r="F60" s="60" t="n">
        <x:v>1</x:v>
      </x:c>
      <x:c r="G60" s="59" t="str">
        <x:v>J701</x:v>
      </x:c>
      <x:c r="H60" s="59" t="str">
        <x:v>Allowance</x:v>
      </x:c>
      <x:c r="I60" s="61" t="n">
        <x:f>ROUND(SUMIF('Price Inputs'!$A$5:$A$139,C60,'Price Inputs'!$D$5:$D$139),2)</x:f>
        <x:v>55</x:v>
      </x:c>
      <x:c r="J60" s="61" t="n">
        <x:f>ROUND(F60*I60,2)</x:f>
        <x:v>55</x:v>
      </x:c>
      <x:c r="K60" s="61" t="n">
        <x:f>ROUND(SUMIF('Price Inputs'!$A$5:$A$139,C60,'Price Inputs'!$E$5:$E$139),2)</x:f>
        <x:v>38</x:v>
      </x:c>
      <x:c r="L60" s="61" t="n">
        <x:f>ROUND(F60*K60,2)</x:f>
        <x:v>38</x:v>
      </x:c>
      <x:c r="M60" s="59" t="str">
        <x:v>Estimate</x:v>
      </x:c>
    </x:row>
    <x:row r="61" ht="15" hidden="0" customHeight="1">
      <x:c r="A61" s="59" t="str">
        <x:v>ESC Rev-B</x:v>
      </x:c>
      <x:c r="B61" s="59" t="str">
        <x:v>Murata</x:v>
      </x:c>
      <x:c r="C61" s="59" t="str">
        <x:v>BLM18AG601SN1D</x:v>
      </x:c>
      <x:c r="D61" s="59" t="str">
        <x:v>600R@100MHz</x:v>
      </x:c>
      <x:c r="E61" s="59" t="str">
        <x:v>Inductor_SMD:L_0603_1608Metric</x:v>
      </x:c>
      <x:c r="F61" s="60" t="n">
        <x:v>7</x:v>
      </x:c>
      <x:c r="G61" s="59" t="str">
        <x:v>FB1101, FB1201, FB1301, FB1401, FB1501, FB1601, FB201</x:v>
      </x:c>
      <x:c r="H61" s="59" t="str">
        <x:v>Allowance</x:v>
      </x:c>
      <x:c r="I61" s="61" t="n">
        <x:f>ROUND(SUMIF('Price Inputs'!$A$5:$A$139,C61,'Price Inputs'!$D$5:$D$139),2)</x:f>
        <x:v>6</x:v>
      </x:c>
      <x:c r="J61" s="61" t="n">
        <x:f>ROUND(F61*I61,2)</x:f>
        <x:v>42</x:v>
      </x:c>
      <x:c r="K61" s="61" t="n">
        <x:f>ROUND(SUMIF('Price Inputs'!$A$5:$A$139,C61,'Price Inputs'!$E$5:$E$139),2)</x:f>
        <x:v>3</x:v>
      </x:c>
      <x:c r="L61" s="61" t="n">
        <x:f>ROUND(F61*K61,2)</x:f>
        <x:v>21</x:v>
      </x:c>
      <x:c r="M61" s="59" t="str">
        <x:v>Estimate</x:v>
      </x:c>
    </x:row>
    <x:row r="62" ht="15" hidden="0" customHeight="1">
      <x:c r="A62" s="59" t="str">
        <x:v>ESC Rev-B</x:v>
      </x:c>
      <x:c r="B62" s="59" t="str">
        <x:v>Nexperia</x:v>
      </x:c>
      <x:c r="C62" s="59" t="str">
        <x:v>PESD2CANFD24L-T</x:v>
      </x:c>
      <x:c r="D62" s="59" t="str">
        <x:v>PESD2CANFD24L-T</x:v>
      </x:c>
      <x:c r="E62" s="59" t="str">
        <x:v>Package_TO_SOT_SMD:SOT-23</x:v>
      </x:c>
      <x:c r="F62" s="60" t="n">
        <x:v>1</x:v>
      </x:c>
      <x:c r="G62" s="59" t="str">
        <x:v>D202</x:v>
      </x:c>
      <x:c r="H62" s="59" t="str">
        <x:v>Allowance</x:v>
      </x:c>
      <x:c r="I62" s="61" t="n">
        <x:f>ROUND(SUMIF('Price Inputs'!$A$5:$A$139,C62,'Price Inputs'!$D$5:$D$139),2)</x:f>
        <x:v>48</x:v>
      </x:c>
      <x:c r="J62" s="61" t="n">
        <x:f>ROUND(F62*I62,2)</x:f>
        <x:v>48</x:v>
      </x:c>
      <x:c r="K62" s="61" t="n">
        <x:f>ROUND(SUMIF('Price Inputs'!$A$5:$A$139,C62,'Price Inputs'!$E$5:$E$139),2)</x:f>
        <x:v>32</x:v>
      </x:c>
      <x:c r="L62" s="61" t="n">
        <x:f>ROUND(F62*K62,2)</x:f>
        <x:v>32</x:v>
      </x:c>
      <x:c r="M62" s="59" t="str">
        <x:v>Estimate</x:v>
      </x:c>
    </x:row>
    <x:row r="63" ht="15" hidden="0" customHeight="1">
      <x:c r="A63" s="59" t="str">
        <x:v>ESC Rev-B</x:v>
      </x:c>
      <x:c r="B63" s="59" t="str">
        <x:v>RECOM</x:v>
      </x:c>
      <x:c r="C63" s="59" t="str">
        <x:v>RFM-0505S</x:v>
      </x:c>
      <x:c r="D63" s="59" t="str">
        <x:v>RFM-0505S</x:v>
      </x:c>
      <x:c r="E63" s="59" t="str">
        <x:v>revb:RFM_SIP4_11.5x6_P2.54</x:v>
      </x:c>
      <x:c r="F63" s="60" t="n">
        <x:v>6</x:v>
      </x:c>
      <x:c r="G63" s="59" t="str">
        <x:v>PS1101, PS1201, PS1301, PS1401, PS1501, PS1601</x:v>
      </x:c>
      <x:c r="H63" s="59" t="str">
        <x:v>Qty 6 / 60</x:v>
      </x:c>
      <x:c r="I63" s="61" t="n">
        <x:f>ROUND(SUMIF('Price Inputs'!$A$5:$A$139,C63,'Price Inputs'!$D$5:$D$139),2)</x:f>
        <x:v>173.31</x:v>
      </x:c>
      <x:c r="J63" s="61" t="n">
        <x:f>ROUND(F63*I63,2)</x:f>
        <x:v>1039.86</x:v>
      </x:c>
      <x:c r="K63" s="61" t="n">
        <x:f>ROUND(SUMIF('Price Inputs'!$A$5:$A$139,C63,'Price Inputs'!$E$5:$E$139),2)</x:f>
        <x:v>155.61</x:v>
      </x:c>
      <x:c r="L63" s="61" t="n">
        <x:f>ROUND(F63*K63,2)</x:f>
        <x:v>933.66</x:v>
      </x:c>
      <x:c r="M63" s="59" t="str">
        <x:v>Live/official</x:v>
      </x:c>
    </x:row>
    <x:row r="64" ht="15" hidden="0" customHeight="1">
      <x:c r="A64" s="59" t="str">
        <x:v>ESC Rev-B</x:v>
      </x:c>
      <x:c r="B64" s="59" t="str">
        <x:v>Raspberry Pi</x:v>
      </x:c>
      <x:c r="C64" s="59" t="str">
        <x:v>RP2354B</x:v>
      </x:c>
      <x:c r="D64" s="59" t="str">
        <x:v>RP2354B</x:v>
      </x:c>
      <x:c r="E64" s="59" t="str">
        <x:v>Package_DFN_QFN:QFN-80-1EP_10x10mm_P0.4mm_EP3.4x3.4mm</x:v>
      </x:c>
      <x:c r="F64" s="60" t="n">
        <x:v>1</x:v>
      </x:c>
      <x:c r="G64" s="59" t="str">
        <x:v>U201</x:v>
      </x:c>
      <x:c r="H64" s="59" t="str">
        <x:v>Qty 2 / 20</x:v>
      </x:c>
      <x:c r="I64" s="61" t="n">
        <x:f>ROUND(SUMIF('Price Inputs'!$A$5:$A$139,C64,'Price Inputs'!$D$5:$D$139),2)</x:f>
        <x:v>134.95</x:v>
      </x:c>
      <x:c r="J64" s="61" t="n">
        <x:f>ROUND(F64*I64,2)</x:f>
        <x:v>134.95</x:v>
      </x:c>
      <x:c r="K64" s="61" t="n">
        <x:f>ROUND(SUMIF('Price Inputs'!$A$5:$A$139,C64,'Price Inputs'!$E$5:$E$139),2)</x:f>
        <x:v>134.95</x:v>
      </x:c>
      <x:c r="L64" s="61" t="n">
        <x:f>ROUND(F64*K64,2)</x:f>
        <x:v>134.95</x:v>
      </x:c>
      <x:c r="M64" s="59" t="str">
        <x:v>Live/official</x:v>
      </x:c>
    </x:row>
    <x:row r="65" ht="15" hidden="0" customHeight="1">
      <x:c r="A65" s="59" t="str">
        <x:v>ESC Rev-B</x:v>
      </x:c>
      <x:c r="B65" s="59" t="str">
        <x:v>Rubycon</x:v>
      </x:c>
      <x:c r="C65" s="59" t="str">
        <x:v>100PX820MEFC18X35.5</x:v>
      </x:c>
      <x:c r="D65" s="59" t="str">
        <x:v>820u 100V</x:v>
      </x:c>
      <x:c r="E65" s="59" t="str">
        <x:v>Capacitor_THT:CP_Radial_D18.0mm_P7.50mm</x:v>
      </x:c>
      <x:c r="F65" s="60" t="n">
        <x:v>6</x:v>
      </x:c>
      <x:c r="G65" s="59" t="str">
        <x:v>C1130, C1230, C1330, C1430, C1530, C1630</x:v>
      </x:c>
      <x:c r="H65" s="59" t="str">
        <x:v>Qty 6 / 60</x:v>
      </x:c>
      <x:c r="I65" s="61" t="n">
        <x:f>ROUND(SUMIF('Price Inputs'!$A$5:$A$139,C65,'Price Inputs'!$D$5:$D$139),2)</x:f>
        <x:v>320</x:v>
      </x:c>
      <x:c r="J65" s="61" t="n">
        <x:f>ROUND(F65*I65,2)</x:f>
        <x:v>1920</x:v>
      </x:c>
      <x:c r="K65" s="61" t="n">
        <x:f>ROUND(SUMIF('Price Inputs'!$A$5:$A$139,C65,'Price Inputs'!$E$5:$E$139),2)</x:f>
        <x:v>184</x:v>
      </x:c>
      <x:c r="L65" s="61" t="n">
        <x:f>ROUND(F65*K65,2)</x:f>
        <x:v>1104</x:v>
      </x:c>
      <x:c r="M65" s="59" t="str">
        <x:v>Benchmark estimate</x:v>
      </x:c>
    </x:row>
    <x:row r="66" ht="15" hidden="0" customHeight="1">
      <x:c r="A66" s="59" t="str">
        <x:v>ESC Rev-B</x:v>
      </x:c>
      <x:c r="B66" s="59" t="str">
        <x:v>STMicroelectronics</x:v>
      </x:c>
      <x:c r="C66" s="59" t="str">
        <x:v>STM32G431CBT6</x:v>
      </x:c>
      <x:c r="D66" s="59" t="str">
        <x:v>STM32G431CBT6</x:v>
      </x:c>
      <x:c r="E66" s="59" t="str">
        <x:v>Package_QFP:LQFP-48_7x7mm_P0.5mm</x:v>
      </x:c>
      <x:c r="F66" s="60" t="n">
        <x:v>6</x:v>
      </x:c>
      <x:c r="G66" s="59" t="str">
        <x:v>U1102, U1202, U1302, U1402, U1502, U1602</x:v>
      </x:c>
      <x:c r="H66" s="59" t="str">
        <x:v>Qty 6 / 60</x:v>
      </x:c>
      <x:c r="I66" s="61" t="n">
        <x:f>ROUND(SUMIF('Price Inputs'!$A$5:$A$139,C66,'Price Inputs'!$D$5:$D$139),2)</x:f>
        <x:v>634.56</x:v>
      </x:c>
      <x:c r="J66" s="61" t="n">
        <x:f>ROUND(F66*I66,2)</x:f>
        <x:v>3807.36</x:v>
      </x:c>
      <x:c r="K66" s="61" t="n">
        <x:f>ROUND(SUMIF('Price Inputs'!$A$5:$A$139,C66,'Price Inputs'!$E$5:$E$139),2)</x:f>
        <x:v>438.88</x:v>
      </x:c>
      <x:c r="L66" s="61" t="n">
        <x:f>ROUND(F66*K66,2)</x:f>
        <x:v>2633.28</x:v>
      </x:c>
      <x:c r="M66" s="59" t="str">
        <x:v>Live/official</x:v>
      </x:c>
    </x:row>
    <x:row r="67" ht="15" hidden="0" customHeight="1">
      <x:c r="A67" s="59" t="str">
        <x:v>ESC Rev-B</x:v>
      </x:c>
      <x:c r="B67" s="59" t="str">
        <x:v>TDK</x:v>
      </x:c>
      <x:c r="C67" s="59" t="str">
        <x:v>ACT45B-110-2P-TL003</x:v>
      </x:c>
      <x:c r="D67" s="59" t="str">
        <x:v>ACT45B-110-2P-TL003</x:v>
      </x:c>
      <x:c r="E67" s="59" t="str">
        <x:v>Inductor_SMD:L_CommonModeChoke_Coilank_ACM4532</x:v>
      </x:c>
      <x:c r="F67" s="60" t="n">
        <x:v>1</x:v>
      </x:c>
      <x:c r="G67" s="59" t="str">
        <x:v>FL201</x:v>
      </x:c>
      <x:c r="H67" s="59" t="str">
        <x:v>Allowance</x:v>
      </x:c>
      <x:c r="I67" s="61" t="n">
        <x:f>ROUND(SUMIF('Price Inputs'!$A$5:$A$139,C67,'Price Inputs'!$D$5:$D$139),2)</x:f>
        <x:v>90</x:v>
      </x:c>
      <x:c r="J67" s="61" t="n">
        <x:f>ROUND(F67*I67,2)</x:f>
        <x:v>90</x:v>
      </x:c>
      <x:c r="K67" s="61" t="n">
        <x:f>ROUND(SUMIF('Price Inputs'!$A$5:$A$139,C67,'Price Inputs'!$E$5:$E$139),2)</x:f>
        <x:v>65</x:v>
      </x:c>
      <x:c r="L67" s="61" t="n">
        <x:f>ROUND(F67*K67,2)</x:f>
        <x:v>65</x:v>
      </x:c>
      <x:c r="M67" s="59" t="str">
        <x:v>Estimate</x:v>
      </x:c>
    </x:row>
    <x:row r="68" ht="15" hidden="0" customHeight="1">
      <x:c r="A68" s="59" t="str">
        <x:v>ESC Rev-B</x:v>
      </x:c>
      <x:c r="B68" s="59" t="str">
        <x:v>TDK</x:v>
      </x:c>
      <x:c r="C68" s="59" t="str">
        <x:v>NTCG163JF103FT1</x:v>
      </x:c>
      <x:c r="D68" s="59" t="str">
        <x:v>NTCG163JF103FT1</x:v>
      </x:c>
      <x:c r="E68" s="59" t="str">
        <x:v>Resistor_SMD:R_0603_1608Metric</x:v>
      </x:c>
      <x:c r="F68" s="60" t="n">
        <x:v>6</x:v>
      </x:c>
      <x:c r="G68" s="59" t="str">
        <x:v>TH1, TH2, TH3, TH4, TH5, TH6</x:v>
      </x:c>
      <x:c r="H68" s="59" t="str">
        <x:v>Allowance</x:v>
      </x:c>
      <x:c r="I68" s="61" t="n">
        <x:f>ROUND(SUMIF('Price Inputs'!$A$5:$A$139,C68,'Price Inputs'!$D$5:$D$139),2)</x:f>
        <x:v>16</x:v>
      </x:c>
      <x:c r="J68" s="61" t="n">
        <x:f>ROUND(F68*I68,2)</x:f>
        <x:v>96</x:v>
      </x:c>
      <x:c r="K68" s="61" t="n">
        <x:f>ROUND(SUMIF('Price Inputs'!$A$5:$A$139,C68,'Price Inputs'!$E$5:$E$139),2)</x:f>
        <x:v>9</x:v>
      </x:c>
      <x:c r="L68" s="61" t="n">
        <x:f>ROUND(F68*K68,2)</x:f>
        <x:v>54</x:v>
      </x:c>
      <x:c r="M68" s="59" t="str">
        <x:v>Estimate</x:v>
      </x:c>
    </x:row>
    <x:row r="69" ht="15" hidden="0" customHeight="1">
      <x:c r="A69" s="59" t="str">
        <x:v>ESC Rev-B</x:v>
      </x:c>
      <x:c r="B69" s="59" t="str">
        <x:v>Texas Instruments</x:v>
      </x:c>
      <x:c r="C69" s="59" t="str">
        <x:v>DRV8353SRTAR</x:v>
      </x:c>
      <x:c r="D69" s="59" t="str">
        <x:v>DRV8353SRTAR</x:v>
      </x:c>
      <x:c r="E69" s="59" t="str">
        <x:v>revb:WQFN-40-EP_6x6_P0.5</x:v>
      </x:c>
      <x:c r="F69" s="60" t="n">
        <x:v>6</x:v>
      </x:c>
      <x:c r="G69" s="59" t="str">
        <x:v>U1101, U1201, U1301, U1401, U1501, U1601</x:v>
      </x:c>
      <x:c r="H69" s="59" t="str">
        <x:v>Qty 6 / 60</x:v>
      </x:c>
      <x:c r="I69" s="61" t="n">
        <x:f>ROUND(SUMIF('Price Inputs'!$A$5:$A$139,C69,'Price Inputs'!$D$5:$D$139),2)</x:f>
        <x:v>479.88</x:v>
      </x:c>
      <x:c r="J69" s="61" t="n">
        <x:f>ROUND(F69*I69,2)</x:f>
        <x:v>2879.28</x:v>
      </x:c>
      <x:c r="K69" s="61" t="n">
        <x:f>ROUND(SUMIF('Price Inputs'!$A$5:$A$139,C69,'Price Inputs'!$E$5:$E$139),2)</x:f>
        <x:v>336.38</x:v>
      </x:c>
      <x:c r="L69" s="61" t="n">
        <x:f>ROUND(F69*K69,2)</x:f>
        <x:v>2018.28</x:v>
      </x:c>
      <x:c r="M69" s="59" t="str">
        <x:v>Live/official</x:v>
      </x:c>
    </x:row>
    <x:row r="70" ht="15" hidden="0" customHeight="1">
      <x:c r="A70" s="59" t="str">
        <x:v>ESC Rev-B</x:v>
      </x:c>
      <x:c r="B70" s="59" t="str">
        <x:v>Texas Instruments</x:v>
      </x:c>
      <x:c r="C70" s="59" t="str">
        <x:v>INA296A2IDR</x:v>
      </x:c>
      <x:c r="D70" s="59" t="str">
        <x:v>INA296A2IDR</x:v>
      </x:c>
      <x:c r="E70" s="59" t="str">
        <x:v>Package_SO:SOIC-8_3.9x4.9mm_P1.27mm</x:v>
      </x:c>
      <x:c r="F70" s="60" t="n">
        <x:v>6</x:v>
      </x:c>
      <x:c r="G70" s="59" t="str">
        <x:v>U1105, U1205, U1305, U1405, U1505, U1605</x:v>
      </x:c>
      <x:c r="H70" s="59" t="str">
        <x:v>Qty 6 / 60</x:v>
      </x:c>
      <x:c r="I70" s="61" t="n">
        <x:f>ROUND(SUMIF('Price Inputs'!$A$5:$A$139,C70,'Price Inputs'!$D$5:$D$139),2)</x:f>
        <x:v>486.03</x:v>
      </x:c>
      <x:c r="J70" s="61" t="n">
        <x:f>ROUND(F70*I70,2)</x:f>
        <x:v>2916.18</x:v>
      </x:c>
      <x:c r="K70" s="61" t="n">
        <x:f>ROUND(SUMIF('Price Inputs'!$A$5:$A$139,C70,'Price Inputs'!$E$5:$E$139),2)</x:f>
        <x:v>311.74</x:v>
      </x:c>
      <x:c r="L70" s="61" t="n">
        <x:f>ROUND(F70*K70,2)</x:f>
        <x:v>1870.44</x:v>
      </x:c>
      <x:c r="M70" s="59" t="str">
        <x:v>Live/official</x:v>
      </x:c>
    </x:row>
    <x:row r="71" ht="15" hidden="0" customHeight="1">
      <x:c r="A71" s="59" t="str">
        <x:v>ESC Rev-B</x:v>
      </x:c>
      <x:c r="B71" s="59" t="str">
        <x:v>Texas Instruments</x:v>
      </x:c>
      <x:c r="C71" s="59" t="str">
        <x:v>ISO6731FDWR</x:v>
      </x:c>
      <x:c r="D71" s="59" t="str">
        <x:v>ISO6731FDWR</x:v>
      </x:c>
      <x:c r="E71" s="59" t="str">
        <x:v>Package_SO:SOIC-16W_7.5x10.3mm_P1.27mm</x:v>
      </x:c>
      <x:c r="F71" s="60" t="n">
        <x:v>6</x:v>
      </x:c>
      <x:c r="G71" s="59" t="str">
        <x:v>U1103, U1203, U1303, U1403, U1503, U1603</x:v>
      </x:c>
      <x:c r="H71" s="59" t="str">
        <x:v>Qty 6 / 60</x:v>
      </x:c>
      <x:c r="I71" s="61" t="n">
        <x:f>ROUND(SUMIF('Price Inputs'!$A$5:$A$139,C71,'Price Inputs'!$D$5:$D$139),2)</x:f>
        <x:v>253.29</x:v>
      </x:c>
      <x:c r="J71" s="61" t="n">
        <x:f>ROUND(F71*I71,2)</x:f>
        <x:v>1519.74</x:v>
      </x:c>
      <x:c r="K71" s="61" t="n">
        <x:f>ROUND(SUMIF('Price Inputs'!$A$5:$A$139,C71,'Price Inputs'!$E$5:$E$139),2)</x:f>
        <x:v>172.2</x:v>
      </x:c>
      <x:c r="L71" s="61" t="n">
        <x:f>ROUND(F71*K71,2)</x:f>
        <x:v>1033.2</x:v>
      </x:c>
      <x:c r="M71" s="59" t="str">
        <x:v>Live/official</x:v>
      </x:c>
    </x:row>
    <x:row r="72" ht="15" hidden="0" customHeight="1">
      <x:c r="A72" s="59" t="str">
        <x:v>ESC Rev-B</x:v>
      </x:c>
      <x:c r="B72" s="59" t="str">
        <x:v>Texas Instruments</x:v>
      </x:c>
      <x:c r="C72" s="59" t="str">
        <x:v>LM5164DDAR</x:v>
      </x:c>
      <x:c r="D72" s="59" t="str">
        <x:v>LM5164DDA</x:v>
      </x:c>
      <x:c r="E72" s="59" t="str">
        <x:v>Package_SO:HSOP-8-1EP_3.9x4.9mm_P1.27mm_EP2.41x3.1mm_ThermalVias</x:v>
      </x:c>
      <x:c r="F72" s="60" t="n">
        <x:v>2</x:v>
      </x:c>
      <x:c r="G72" s="59" t="str">
        <x:v>U701, U703</x:v>
      </x:c>
      <x:c r="H72" s="59" t="str">
        <x:v>Qty 2 / 20</x:v>
      </x:c>
      <x:c r="I72" s="61" t="n">
        <x:f>ROUND(SUMIF('Price Inputs'!$A$5:$A$139,C72,'Price Inputs'!$D$5:$D$139),2)</x:f>
        <x:v>390.42</x:v>
      </x:c>
      <x:c r="J72" s="61" t="n">
        <x:f>ROUND(F72*I72,2)</x:f>
        <x:v>780.84</x:v>
      </x:c>
      <x:c r="K72" s="61" t="n">
        <x:f>ROUND(SUMIF('Price Inputs'!$A$5:$A$139,C72,'Price Inputs'!$E$5:$E$139),2)</x:f>
        <x:v>295.38</x:v>
      </x:c>
      <x:c r="L72" s="61" t="n">
        <x:f>ROUND(F72*K72,2)</x:f>
        <x:v>590.76</x:v>
      </x:c>
      <x:c r="M72" s="59" t="str">
        <x:v>Live/official</x:v>
      </x:c>
    </x:row>
    <x:row r="73" ht="15" hidden="0" customHeight="1">
      <x:c r="A73" s="59" t="str">
        <x:v>ESC Rev-B</x:v>
      </x:c>
      <x:c r="B73" s="59" t="str">
        <x:v>Texas Instruments</x:v>
      </x:c>
      <x:c r="C73" s="59" t="str">
        <x:v>SN74LVC1G08DBVR</x:v>
      </x:c>
      <x:c r="D73" s="59" t="str">
        <x:v>SN74LVC1G08DBVR</x:v>
      </x:c>
      <x:c r="E73" s="59" t="str">
        <x:v>Package_TO_SOT_SMD:SOT-23-5</x:v>
      </x:c>
      <x:c r="F73" s="60" t="n">
        <x:v>7</x:v>
      </x:c>
      <x:c r="G73" s="59" t="str">
        <x:v>U1106, U1206, U1306, U1406, U1506, U1606, U205</x:v>
      </x:c>
      <x:c r="H73" s="59" t="str">
        <x:v>Allowance</x:v>
      </x:c>
      <x:c r="I73" s="61" t="n">
        <x:f>ROUND(SUMIF('Price Inputs'!$A$5:$A$139,C73,'Price Inputs'!$D$5:$D$139),2)</x:f>
        <x:v>28</x:v>
      </x:c>
      <x:c r="J73" s="61" t="n">
        <x:f>ROUND(F73*I73,2)</x:f>
        <x:v>196</x:v>
      </x:c>
      <x:c r="K73" s="61" t="n">
        <x:f>ROUND(SUMIF('Price Inputs'!$A$5:$A$139,C73,'Price Inputs'!$E$5:$E$139),2)</x:f>
        <x:v>18</x:v>
      </x:c>
      <x:c r="L73" s="61" t="n">
        <x:f>ROUND(F73*K73,2)</x:f>
        <x:v>126</x:v>
      </x:c>
      <x:c r="M73" s="59" t="str">
        <x:v>Estimate</x:v>
      </x:c>
    </x:row>
    <x:row r="74" ht="15" hidden="0" customHeight="1">
      <x:c r="A74" s="59" t="str">
        <x:v>ESC Rev-B</x:v>
      </x:c>
      <x:c r="B74" s="59" t="str">
        <x:v>Texas Instruments</x:v>
      </x:c>
      <x:c r="C74" s="59" t="str">
        <x:v>TCAN3413DR</x:v>
      </x:c>
      <x:c r="D74" s="59" t="str">
        <x:v>TCAN3413DR</x:v>
      </x:c>
      <x:c r="E74" s="59" t="str">
        <x:v>Package_SO:SOIC-8_3.9x4.9mm_P1.27mm</x:v>
      </x:c>
      <x:c r="F74" s="60" t="n">
        <x:v>1</x:v>
      </x:c>
      <x:c r="G74" s="59" t="str">
        <x:v>U206</x:v>
      </x:c>
      <x:c r="H74" s="59" t="str">
        <x:v>Qty 2 / 20</x:v>
      </x:c>
      <x:c r="I74" s="61" t="n">
        <x:f>ROUND(SUMIF('Price Inputs'!$A$5:$A$139,C74,'Price Inputs'!$D$5:$D$139),2)</x:f>
        <x:v>174.25</x:v>
      </x:c>
      <x:c r="J74" s="61" t="n">
        <x:f>ROUND(F74*I74,2)</x:f>
        <x:v>174.25</x:v>
      </x:c>
      <x:c r="K74" s="61" t="n">
        <x:f>ROUND(SUMIF('Price Inputs'!$A$5:$A$139,C74,'Price Inputs'!$E$5:$E$139),2)</x:f>
        <x:v>128.59</x:v>
      </x:c>
      <x:c r="L74" s="61" t="n">
        <x:f>ROUND(F74*K74,2)</x:f>
        <x:v>128.59</x:v>
      </x:c>
      <x:c r="M74" s="59" t="str">
        <x:v>Live/official</x:v>
      </x:c>
    </x:row>
    <x:row r="75" ht="15" hidden="0" customHeight="1">
      <x:c r="A75" s="59" t="str">
        <x:v>ESC Rev-B</x:v>
      </x:c>
      <x:c r="B75" s="59" t="str">
        <x:v>Texas Instruments</x:v>
      </x:c>
      <x:c r="C75" s="59" t="str">
        <x:v>TPS3430WDRCR</x:v>
      </x:c>
      <x:c r="D75" s="59" t="str">
        <x:v>TPS3430WDRCR</x:v>
      </x:c>
      <x:c r="E75" s="59" t="str">
        <x:v>revb:TPS3430_WSON10_EP</x:v>
      </x:c>
      <x:c r="F75" s="60" t="n">
        <x:v>1</x:v>
      </x:c>
      <x:c r="G75" s="59" t="str">
        <x:v>U204</x:v>
      </x:c>
      <x:c r="H75" s="59" t="str">
        <x:v>Allowance</x:v>
      </x:c>
      <x:c r="I75" s="61" t="n">
        <x:f>ROUND(SUMIF('Price Inputs'!$A$5:$A$139,C75,'Price Inputs'!$D$5:$D$139),2)</x:f>
        <x:v>260</x:v>
      </x:c>
      <x:c r="J75" s="61" t="n">
        <x:f>ROUND(F75*I75,2)</x:f>
        <x:v>260</x:v>
      </x:c>
      <x:c r="K75" s="61" t="n">
        <x:f>ROUND(SUMIF('Price Inputs'!$A$5:$A$139,C75,'Price Inputs'!$E$5:$E$139),2)</x:f>
        <x:v>190</x:v>
      </x:c>
      <x:c r="L75" s="61" t="n">
        <x:f>ROUND(F75*K75,2)</x:f>
        <x:v>190</x:v>
      </x:c>
      <x:c r="M75" s="59" t="str">
        <x:v>Estimate</x:v>
      </x:c>
    </x:row>
    <x:row r="76" ht="15" hidden="0" customHeight="1">
      <x:c r="A76" s="59" t="str">
        <x:v>ESC Rev-B</x:v>
      </x:c>
      <x:c r="B76" s="59" t="str">
        <x:v>Texas Instruments</x:v>
      </x:c>
      <x:c r="C76" s="59" t="str">
        <x:v>TPS70933DBVR</x:v>
      </x:c>
      <x:c r="D76" s="59" t="str">
        <x:v>TPS70933DBVR</x:v>
      </x:c>
      <x:c r="E76" s="59" t="str">
        <x:v>Package_TO_SOT_SMD:SOT-23-5</x:v>
      </x:c>
      <x:c r="F76" s="60" t="n">
        <x:v>6</x:v>
      </x:c>
      <x:c r="G76" s="59" t="str">
        <x:v>U1104, U1204, U1304, U1404, U1504, U1604</x:v>
      </x:c>
      <x:c r="H76" s="59" t="str">
        <x:v>Qty 6 / 60</x:v>
      </x:c>
      <x:c r="I76" s="61" t="n">
        <x:f>ROUND(SUMIF('Price Inputs'!$A$5:$A$139,C76,'Price Inputs'!$D$5:$D$139),2)</x:f>
        <x:v>140.7</x:v>
      </x:c>
      <x:c r="J76" s="61" t="n">
        <x:f>ROUND(F76*I76,2)</x:f>
        <x:v>844.2</x:v>
      </x:c>
      <x:c r="K76" s="61" t="n">
        <x:f>ROUND(SUMIF('Price Inputs'!$A$5:$A$139,C76,'Price Inputs'!$E$5:$E$139),2)</x:f>
        <x:v>93.18</x:v>
      </x:c>
      <x:c r="L76" s="61" t="n">
        <x:f>ROUND(F76*K76,2)</x:f>
        <x:v>559.08</x:v>
      </x:c>
      <x:c r="M76" s="59" t="str">
        <x:v>Live/official</x:v>
      </x:c>
    </x:row>
    <x:row r="77" ht="15" hidden="0" customHeight="1">
      <x:c r="A77" s="59" t="str">
        <x:v>Flight Control Rev-B</x:v>
      </x:c>
      <x:c r="B77" s="59" t="str">
        <x:v>Commodity / unspecified</x:v>
      </x:c>
      <x:c r="C77" s="59" t="str">
        <x:v>0</x:v>
      </x:c>
      <x:c r="D77" s="59" t="str">
        <x:v>0</x:v>
      </x:c>
      <x:c r="E77" s="59" t="str">
        <x:v>Resistor_SMD:R_0402_1005Metric</x:v>
      </x:c>
      <x:c r="F77" s="60" t="n">
        <x:v>1</x:v>
      </x:c>
      <x:c r="G77" s="59" t="str">
        <x:v>R35</x:v>
      </x:c>
      <x:c r="H77" s="59" t="str">
        <x:v>Allowance</x:v>
      </x:c>
      <x:c r="I77" s="61" t="n">
        <x:f>ROUND(SUMIF('Price Inputs'!$A$5:$A$139,C77,'Price Inputs'!$D$5:$D$139),2)</x:f>
        <x:v>1.2</x:v>
      </x:c>
      <x:c r="J77" s="61" t="n">
        <x:f>ROUND(F77*I77,2)</x:f>
        <x:v>1.2</x:v>
      </x:c>
      <x:c r="K77" s="61" t="n">
        <x:f>ROUND(SUMIF('Price Inputs'!$A$5:$A$139,C77,'Price Inputs'!$E$5:$E$139),2)</x:f>
        <x:v>0.45</x:v>
      </x:c>
      <x:c r="L77" s="61" t="n">
        <x:f>ROUND(F77*K77,2)</x:f>
        <x:v>0.45</x:v>
      </x:c>
      <x:c r="M77" s="59" t="str">
        <x:v>Estimate</x:v>
      </x:c>
    </x:row>
    <x:row r="78" ht="15" hidden="0" customHeight="1">
      <x:c r="A78" s="59" t="str">
        <x:v>Flight Control Rev-B</x:v>
      </x:c>
      <x:c r="B78" s="59" t="str">
        <x:v>Commodity / unspecified</x:v>
      </x:c>
      <x:c r="C78" s="59" t="str">
        <x:v>0 (non-SigFox)</x:v>
      </x:c>
      <x:c r="D78" s="59" t="str">
        <x:v>0 (non-SigFox)</x:v>
      </x:c>
      <x:c r="E78" s="59" t="str">
        <x:v>Resistor_SMD:R_0402_1005Metric</x:v>
      </x:c>
      <x:c r="F78" s="60" t="n">
        <x:v>1</x:v>
      </x:c>
      <x:c r="G78" s="59" t="str">
        <x:v>R42</x:v>
      </x:c>
      <x:c r="H78" s="59" t="str">
        <x:v>Allowance</x:v>
      </x:c>
      <x:c r="I78" s="61" t="n">
        <x:f>ROUND(SUMIF('Price Inputs'!$A$5:$A$139,C78,'Price Inputs'!$D$5:$D$139),2)</x:f>
        <x:v>1.2</x:v>
      </x:c>
      <x:c r="J78" s="61" t="n">
        <x:f>ROUND(F78*I78,2)</x:f>
        <x:v>1.2</x:v>
      </x:c>
      <x:c r="K78" s="61" t="n">
        <x:f>ROUND(SUMIF('Price Inputs'!$A$5:$A$139,C78,'Price Inputs'!$E$5:$E$139),2)</x:f>
        <x:v>0.45</x:v>
      </x:c>
      <x:c r="L78" s="61" t="n">
        <x:f>ROUND(F78*K78,2)</x:f>
        <x:v>0.45</x:v>
      </x:c>
      <x:c r="M78" s="59" t="str">
        <x:v>Estimate</x:v>
      </x:c>
    </x:row>
    <x:row r="79" ht="15" hidden="0" customHeight="1">
      <x:c r="A79" s="59" t="str">
        <x:v>Flight Control Rev-B</x:v>
      </x:c>
      <x:c r="B79" s="59" t="str">
        <x:v>Commodity / unspecified</x:v>
      </x:c>
      <x:c r="C79" s="59" t="str">
        <x:v>0 STAR</x:v>
      </x:c>
      <x:c r="D79" s="59" t="str">
        <x:v>0 STAR</x:v>
      </x:c>
      <x:c r="E79" s="59" t="str">
        <x:v>Resistor_SMD:R_1206_3216Metric</x:v>
      </x:c>
      <x:c r="F79" s="60" t="n">
        <x:v>1</x:v>
      </x:c>
      <x:c r="G79" s="59" t="str">
        <x:v>R3</x:v>
      </x:c>
      <x:c r="H79" s="59" t="str">
        <x:v>Allowance</x:v>
      </x:c>
      <x:c r="I79" s="61" t="n">
        <x:f>ROUND(SUMIF('Price Inputs'!$A$5:$A$139,C79,'Price Inputs'!$D$5:$D$139),2)</x:f>
        <x:v>1.2</x:v>
      </x:c>
      <x:c r="J79" s="61" t="n">
        <x:f>ROUND(F79*I79,2)</x:f>
        <x:v>1.2</x:v>
      </x:c>
      <x:c r="K79" s="61" t="n">
        <x:f>ROUND(SUMIF('Price Inputs'!$A$5:$A$139,C79,'Price Inputs'!$E$5:$E$139),2)</x:f>
        <x:v>0.45</x:v>
      </x:c>
      <x:c r="L79" s="61" t="n">
        <x:f>ROUND(F79*K79,2)</x:f>
        <x:v>0.45</x:v>
      </x:c>
      <x:c r="M79" s="59" t="str">
        <x:v>Estimate</x:v>
      </x:c>
    </x:row>
    <x:row r="80" ht="15" hidden="0" customHeight="1">
      <x:c r="A80" s="59" t="str">
        <x:v>Flight Control Rev-B</x:v>
      </x:c>
      <x:c r="B80" s="59" t="str">
        <x:v>Commodity / unspecified</x:v>
      </x:c>
      <x:c r="C80" s="59" t="str">
        <x:v>0.8p C0G</x:v>
      </x:c>
      <x:c r="D80" s="59" t="str">
        <x:v>0.8p C0G</x:v>
      </x:c>
      <x:c r="E80" s="59" t="str">
        <x:v>Capacitor_SMD:C_0402_1005Metric</x:v>
      </x:c>
      <x:c r="F80" s="60" t="n">
        <x:v>1</x:v>
      </x:c>
      <x:c r="G80" s="59" t="str">
        <x:v>C88</x:v>
      </x:c>
      <x:c r="H80" s="59" t="str">
        <x:v>Allowance</x:v>
      </x:c>
      <x:c r="I80" s="61" t="n">
        <x:f>ROUND(SUMIF('Price Inputs'!$A$5:$A$139,C80,'Price Inputs'!$D$5:$D$139),2)</x:f>
        <x:v>3.5</x:v>
      </x:c>
      <x:c r="J80" s="61" t="n">
        <x:f>ROUND(F80*I80,2)</x:f>
        <x:v>3.5</x:v>
      </x:c>
      <x:c r="K80" s="61" t="n">
        <x:f>ROUND(SUMIF('Price Inputs'!$A$5:$A$139,C80,'Price Inputs'!$E$5:$E$139),2)</x:f>
        <x:v>1.5</x:v>
      </x:c>
      <x:c r="L80" s="61" t="n">
        <x:f>ROUND(F80*K80,2)</x:f>
        <x:v>1.5</x:v>
      </x:c>
      <x:c r="M80" s="59" t="str">
        <x:v>Estimate</x:v>
      </x:c>
    </x:row>
    <x:row r="81" ht="15" hidden="0" customHeight="1">
      <x:c r="A81" s="59" t="str">
        <x:v>Flight Control Rev-B</x:v>
      </x:c>
      <x:c r="B81" s="59" t="str">
        <x:v>Commodity / unspecified</x:v>
      </x:c>
      <x:c r="C81" s="59" t="str">
        <x:v>1.8n U2J</x:v>
      </x:c>
      <x:c r="D81" s="59" t="str">
        <x:v>1.8n U2J</x:v>
      </x:c>
      <x:c r="E81" s="59" t="str">
        <x:v>Capacitor_SMD:C_0402_1005Metric</x:v>
      </x:c>
      <x:c r="F81" s="60" t="n">
        <x:v>1</x:v>
      </x:c>
      <x:c r="G81" s="59" t="str">
        <x:v>C87</x:v>
      </x:c>
      <x:c r="H81" s="59" t="str">
        <x:v>Allowance</x:v>
      </x:c>
      <x:c r="I81" s="61" t="n">
        <x:f>ROUND(SUMIF('Price Inputs'!$A$5:$A$139,C81,'Price Inputs'!$D$5:$D$139),2)</x:f>
        <x:v>1.8</x:v>
      </x:c>
      <x:c r="J81" s="61" t="n">
        <x:f>ROUND(F81*I81,2)</x:f>
        <x:v>1.8</x:v>
      </x:c>
      <x:c r="K81" s="61" t="n">
        <x:f>ROUND(SUMIF('Price Inputs'!$A$5:$A$139,C81,'Price Inputs'!$E$5:$E$139),2)</x:f>
        <x:v>0.7</x:v>
      </x:c>
      <x:c r="L81" s="61" t="n">
        <x:f>ROUND(F81*K81,2)</x:f>
        <x:v>0.7</x:v>
      </x:c>
      <x:c r="M81" s="59" t="str">
        <x:v>Estimate</x:v>
      </x:c>
    </x:row>
    <x:row r="82" ht="15" hidden="0" customHeight="1">
      <x:c r="A82" s="59" t="str">
        <x:v>Flight Control Rev-B</x:v>
      </x:c>
      <x:c r="B82" s="59" t="str">
        <x:v>Commodity / unspecified</x:v>
      </x:c>
      <x:c r="C82" s="59" t="str">
        <x:v>10</x:v>
      </x:c>
      <x:c r="D82" s="59" t="str">
        <x:v>10</x:v>
      </x:c>
      <x:c r="E82" s="59" t="str">
        <x:v>Resistor_SMD:R_0402_1005Metric</x:v>
      </x:c>
      <x:c r="F82" s="60" t="n">
        <x:v>1</x:v>
      </x:c>
      <x:c r="G82" s="59" t="str">
        <x:v>R41</x:v>
      </x:c>
      <x:c r="H82" s="59" t="str">
        <x:v>Allowance</x:v>
      </x:c>
      <x:c r="I82" s="61" t="n">
        <x:f>ROUND(SUMIF('Price Inputs'!$A$5:$A$139,C82,'Price Inputs'!$D$5:$D$139),2)</x:f>
        <x:v>1.2</x:v>
      </x:c>
      <x:c r="J82" s="61" t="n">
        <x:f>ROUND(F82*I82,2)</x:f>
        <x:v>1.2</x:v>
      </x:c>
      <x:c r="K82" s="61" t="n">
        <x:f>ROUND(SUMIF('Price Inputs'!$A$5:$A$139,C82,'Price Inputs'!$E$5:$E$139),2)</x:f>
        <x:v>0.45</x:v>
      </x:c>
      <x:c r="L82" s="61" t="n">
        <x:f>ROUND(F82*K82,2)</x:f>
        <x:v>0.45</x:v>
      </x:c>
      <x:c r="M82" s="59" t="str">
        <x:v>Estimate</x:v>
      </x:c>
    </x:row>
    <x:row r="83" ht="15" hidden="0" customHeight="1">
      <x:c r="A83" s="59" t="str">
        <x:v>Flight Control Rev-B</x:v>
      </x:c>
      <x:c r="B83" s="59" t="str">
        <x:v>Commodity / unspecified</x:v>
      </x:c>
      <x:c r="C83" s="59" t="str">
        <x:v>100k</x:v>
      </x:c>
      <x:c r="D83" s="59" t="str">
        <x:v>100k</x:v>
      </x:c>
      <x:c r="E83" s="59" t="str">
        <x:v>Resistor_SMD:R_0402_1005Metric</x:v>
      </x:c>
      <x:c r="F83" s="60" t="n">
        <x:v>4</x:v>
      </x:c>
      <x:c r="G83" s="59" t="str">
        <x:v>R45, R46, R47, R8</x:v>
      </x:c>
      <x:c r="H83" s="59" t="str">
        <x:v>Allowance</x:v>
      </x:c>
      <x:c r="I83" s="61" t="n">
        <x:f>ROUND(SUMIF('Price Inputs'!$A$5:$A$139,C83,'Price Inputs'!$D$5:$D$139),2)</x:f>
        <x:v>1.2</x:v>
      </x:c>
      <x:c r="J83" s="61" t="n">
        <x:f>ROUND(F83*I83,2)</x:f>
        <x:v>4.8</x:v>
      </x:c>
      <x:c r="K83" s="61" t="n">
        <x:f>ROUND(SUMIF('Price Inputs'!$A$5:$A$139,C83,'Price Inputs'!$E$5:$E$139),2)</x:f>
        <x:v>0.45</x:v>
      </x:c>
      <x:c r="L83" s="61" t="n">
        <x:f>ROUND(F83*K83,2)</x:f>
        <x:v>1.8</x:v>
      </x:c>
      <x:c r="M83" s="59" t="str">
        <x:v>Estimate</x:v>
      </x:c>
    </x:row>
    <x:row r="84" ht="15" hidden="0" customHeight="1">
      <x:c r="A84" s="59" t="str">
        <x:v>Flight Control Rev-B</x:v>
      </x:c>
      <x:c r="B84" s="59" t="str">
        <x:v>Commodity / unspecified</x:v>
      </x:c>
      <x:c r="C84" s="59" t="str">
        <x:v>100k</x:v>
      </x:c>
      <x:c r="D84" s="59" t="str">
        <x:v>100k</x:v>
      </x:c>
      <x:c r="E84" s="59" t="str">
        <x:v>Resistor_SMD:R_0603_1608Metric</x:v>
      </x:c>
      <x:c r="F84" s="60" t="n">
        <x:v>1</x:v>
      </x:c>
      <x:c r="G84" s="59" t="str">
        <x:v>R33</x:v>
      </x:c>
      <x:c r="H84" s="59" t="str">
        <x:v>Allowance</x:v>
      </x:c>
      <x:c r="I84" s="61" t="n">
        <x:f>ROUND(SUMIF('Price Inputs'!$A$5:$A$139,C84,'Price Inputs'!$D$5:$D$139),2)</x:f>
        <x:v>1.2</x:v>
      </x:c>
      <x:c r="J84" s="61" t="n">
        <x:f>ROUND(F84*I84,2)</x:f>
        <x:v>1.2</x:v>
      </x:c>
      <x:c r="K84" s="61" t="n">
        <x:f>ROUND(SUMIF('Price Inputs'!$A$5:$A$139,C84,'Price Inputs'!$E$5:$E$139),2)</x:f>
        <x:v>0.45</x:v>
      </x:c>
      <x:c r="L84" s="61" t="n">
        <x:f>ROUND(F84*K84,2)</x:f>
        <x:v>0.45</x:v>
      </x:c>
      <x:c r="M84" s="59" t="str">
        <x:v>Estimate</x:v>
      </x:c>
    </x:row>
    <x:row r="85" ht="15" hidden="0" customHeight="1">
      <x:c r="A85" s="59" t="str">
        <x:v>Flight Control Rev-B</x:v>
      </x:c>
      <x:c r="B85" s="59" t="str">
        <x:v>Commodity / unspecified</x:v>
      </x:c>
      <x:c r="C85" s="59" t="str">
        <x:v>100k 1%</x:v>
      </x:c>
      <x:c r="D85" s="59" t="str">
        <x:v>100k 1%</x:v>
      </x:c>
      <x:c r="E85" s="59" t="str">
        <x:v>Resistor_SMD:R_0402_1005Metric</x:v>
      </x:c>
      <x:c r="F85" s="60" t="n">
        <x:v>1</x:v>
      </x:c>
      <x:c r="G85" s="59" t="str">
        <x:v>R7</x:v>
      </x:c>
      <x:c r="H85" s="59" t="str">
        <x:v>Allowance</x:v>
      </x:c>
      <x:c r="I85" s="61" t="n">
        <x:f>ROUND(SUMIF('Price Inputs'!$A$5:$A$139,C85,'Price Inputs'!$D$5:$D$139),2)</x:f>
        <x:v>1.2</x:v>
      </x:c>
      <x:c r="J85" s="61" t="n">
        <x:f>ROUND(F85*I85,2)</x:f>
        <x:v>1.2</x:v>
      </x:c>
      <x:c r="K85" s="61" t="n">
        <x:f>ROUND(SUMIF('Price Inputs'!$A$5:$A$139,C85,'Price Inputs'!$E$5:$E$139),2)</x:f>
        <x:v>0.45</x:v>
      </x:c>
      <x:c r="L85" s="61" t="n">
        <x:f>ROUND(F85*K85,2)</x:f>
        <x:v>0.45</x:v>
      </x:c>
      <x:c r="M85" s="59" t="str">
        <x:v>Estimate</x:v>
      </x:c>
    </x:row>
    <x:row r="86" ht="15" hidden="0" customHeight="1">
      <x:c r="A86" s="59" t="str">
        <x:v>Flight Control Rev-B</x:v>
      </x:c>
      <x:c r="B86" s="59" t="str">
        <x:v>Commodity / unspecified</x:v>
      </x:c>
      <x:c r="C86" s="59" t="str">
        <x:v>100n</x:v>
      </x:c>
      <x:c r="D86" s="59" t="str">
        <x:v>100n</x:v>
      </x:c>
      <x:c r="E86" s="59" t="str">
        <x:v>Capacitor_SMD:C_0402_1005Metric</x:v>
      </x:c>
      <x:c r="F86" s="60" t="n">
        <x:v>21</x:v>
      </x:c>
      <x:c r="G86" s="59" t="str">
        <x:v>C101, C115, C30, C31, C32, C33, C34, C35, C36, C37, C38, C39, C40, C41, C42, C50, C52, C54, C56, C71, C75</x:v>
      </x:c>
      <x:c r="H86" s="59" t="str">
        <x:v>Allowance</x:v>
      </x:c>
      <x:c r="I86" s="61" t="n">
        <x:f>ROUND(SUMIF('Price Inputs'!$A$5:$A$139,C86,'Price Inputs'!$D$5:$D$139),2)</x:f>
        <x:v>1.8</x:v>
      </x:c>
      <x:c r="J86" s="61" t="n">
        <x:f>ROUND(F86*I86,2)</x:f>
        <x:v>37.8</x:v>
      </x:c>
      <x:c r="K86" s="61" t="n">
        <x:f>ROUND(SUMIF('Price Inputs'!$A$5:$A$139,C86,'Price Inputs'!$E$5:$E$139),2)</x:f>
        <x:v>0.7</x:v>
      </x:c>
      <x:c r="L86" s="61" t="n">
        <x:f>ROUND(F86*K86,2)</x:f>
        <x:v>14.7</x:v>
      </x:c>
      <x:c r="M86" s="59" t="str">
        <x:v>Estimate</x:v>
      </x:c>
    </x:row>
    <x:row r="87" ht="15" hidden="0" customHeight="1">
      <x:c r="A87" s="59" t="str">
        <x:v>Flight Control Rev-B</x:v>
      </x:c>
      <x:c r="B87" s="59" t="str">
        <x:v>Commodity / unspecified</x:v>
      </x:c>
      <x:c r="C87" s="59" t="str">
        <x:v>100n</x:v>
      </x:c>
      <x:c r="D87" s="59" t="str">
        <x:v>100n</x:v>
      </x:c>
      <x:c r="E87" s="59" t="str">
        <x:v>Capacitor_SMD:C_0603_1608Metric</x:v>
      </x:c>
      <x:c r="F87" s="60" t="n">
        <x:v>2</x:v>
      </x:c>
      <x:c r="G87" s="59" t="str">
        <x:v>C122, C123</x:v>
      </x:c>
      <x:c r="H87" s="59" t="str">
        <x:v>Allowance</x:v>
      </x:c>
      <x:c r="I87" s="61" t="n">
        <x:f>ROUND(SUMIF('Price Inputs'!$A$5:$A$139,C87,'Price Inputs'!$D$5:$D$139),2)</x:f>
        <x:v>1.8</x:v>
      </x:c>
      <x:c r="J87" s="61" t="n">
        <x:f>ROUND(F87*I87,2)</x:f>
        <x:v>3.6</x:v>
      </x:c>
      <x:c r="K87" s="61" t="n">
        <x:f>ROUND(SUMIF('Price Inputs'!$A$5:$A$139,C87,'Price Inputs'!$E$5:$E$139),2)</x:f>
        <x:v>0.7</x:v>
      </x:c>
      <x:c r="L87" s="61" t="n">
        <x:f>ROUND(F87*K87,2)</x:f>
        <x:v>1.4</x:v>
      </x:c>
      <x:c r="M87" s="59" t="str">
        <x:v>Estimate</x:v>
      </x:c>
    </x:row>
    <x:row r="88" ht="15" hidden="0" customHeight="1">
      <x:c r="A88" s="59" t="str">
        <x:v>Flight Control Rev-B</x:v>
      </x:c>
      <x:c r="B88" s="59" t="str">
        <x:v>Commodity / unspecified</x:v>
      </x:c>
      <x:c r="C88" s="59" t="str">
        <x:v>100p</x:v>
      </x:c>
      <x:c r="D88" s="59" t="str">
        <x:v>100p</x:v>
      </x:c>
      <x:c r="E88" s="59" t="str">
        <x:v>Capacitor_SMD:C_0402_1005Metric</x:v>
      </x:c>
      <x:c r="F88" s="60" t="n">
        <x:v>1</x:v>
      </x:c>
      <x:c r="G88" s="59" t="str">
        <x:v>C106</x:v>
      </x:c>
      <x:c r="H88" s="59" t="str">
        <x:v>Allowance</x:v>
      </x:c>
      <x:c r="I88" s="61" t="n">
        <x:f>ROUND(SUMIF('Price Inputs'!$A$5:$A$139,C88,'Price Inputs'!$D$5:$D$139),2)</x:f>
        <x:v>1.8</x:v>
      </x:c>
      <x:c r="J88" s="61" t="n">
        <x:f>ROUND(F88*I88,2)</x:f>
        <x:v>1.8</x:v>
      </x:c>
      <x:c r="K88" s="61" t="n">
        <x:f>ROUND(SUMIF('Price Inputs'!$A$5:$A$139,C88,'Price Inputs'!$E$5:$E$139),2)</x:f>
        <x:v>0.7</x:v>
      </x:c>
      <x:c r="L88" s="61" t="n">
        <x:f>ROUND(F88*K88,2)</x:f>
        <x:v>0.7</x:v>
      </x:c>
      <x:c r="M88" s="59" t="str">
        <x:v>Estimate</x:v>
      </x:c>
    </x:row>
    <x:row r="89" ht="15" hidden="0" customHeight="1">
      <x:c r="A89" s="59" t="str">
        <x:v>Flight Control Rev-B</x:v>
      </x:c>
      <x:c r="B89" s="59" t="str">
        <x:v>Commodity / unspecified</x:v>
      </x:c>
      <x:c r="C89" s="59" t="str">
        <x:v>10k</x:v>
      </x:c>
      <x:c r="D89" s="59" t="str">
        <x:v>10k</x:v>
      </x:c>
      <x:c r="E89" s="59" t="str">
        <x:v>Resistor_SMD:R_0603_1608Metric</x:v>
      </x:c>
      <x:c r="F89" s="60" t="n">
        <x:v>6</x:v>
      </x:c>
      <x:c r="G89" s="59" t="str">
        <x:v>R12, R120, R121, R22, R23, R34</x:v>
      </x:c>
      <x:c r="H89" s="59" t="str">
        <x:v>Allowance</x:v>
      </x:c>
      <x:c r="I89" s="61" t="n">
        <x:f>ROUND(SUMIF('Price Inputs'!$A$5:$A$139,C89,'Price Inputs'!$D$5:$D$139),2)</x:f>
        <x:v>1.2</x:v>
      </x:c>
      <x:c r="J89" s="61" t="n">
        <x:f>ROUND(F89*I89,2)</x:f>
        <x:v>7.2</x:v>
      </x:c>
      <x:c r="K89" s="61" t="n">
        <x:f>ROUND(SUMIF('Price Inputs'!$A$5:$A$139,C89,'Price Inputs'!$E$5:$E$139),2)</x:f>
        <x:v>0.45</x:v>
      </x:c>
      <x:c r="L89" s="61" t="n">
        <x:f>ROUND(F89*K89,2)</x:f>
        <x:v>2.7</x:v>
      </x:c>
      <x:c r="M89" s="59" t="str">
        <x:v>Estimate</x:v>
      </x:c>
    </x:row>
    <x:row r="90" ht="15" hidden="0" customHeight="1">
      <x:c r="A90" s="59" t="str">
        <x:v>Flight Control Rev-B</x:v>
      </x:c>
      <x:c r="B90" s="59" t="str">
        <x:v>Commodity / unspecified</x:v>
      </x:c>
      <x:c r="C90" s="59" t="str">
        <x:v>10k</x:v>
      </x:c>
      <x:c r="D90" s="59" t="str">
        <x:v>10k</x:v>
      </x:c>
      <x:c r="E90" s="59" t="str">
        <x:v>Resistor_SMD:R_0402_1005Metric</x:v>
      </x:c>
      <x:c r="F90" s="60" t="n">
        <x:v>2</x:v>
      </x:c>
      <x:c r="G90" s="59" t="str">
        <x:v>R43, R44</x:v>
      </x:c>
      <x:c r="H90" s="59" t="str">
        <x:v>Allowance</x:v>
      </x:c>
      <x:c r="I90" s="61" t="n">
        <x:f>ROUND(SUMIF('Price Inputs'!$A$5:$A$139,C90,'Price Inputs'!$D$5:$D$139),2)</x:f>
        <x:v>1.2</x:v>
      </x:c>
      <x:c r="J90" s="61" t="n">
        <x:f>ROUND(F90*I90,2)</x:f>
        <x:v>2.4</x:v>
      </x:c>
      <x:c r="K90" s="61" t="n">
        <x:f>ROUND(SUMIF('Price Inputs'!$A$5:$A$139,C90,'Price Inputs'!$E$5:$E$139),2)</x:f>
        <x:v>0.45</x:v>
      </x:c>
      <x:c r="L90" s="61" t="n">
        <x:f>ROUND(F90*K90,2)</x:f>
        <x:v>0.9</x:v>
      </x:c>
      <x:c r="M90" s="59" t="str">
        <x:v>Estimate</x:v>
      </x:c>
    </x:row>
    <x:row r="91" ht="15" hidden="0" customHeight="1">
      <x:c r="A91" s="59" t="str">
        <x:v>Flight Control Rev-B</x:v>
      </x:c>
      <x:c r="B91" s="59" t="str">
        <x:v>Commodity / unspecified</x:v>
      </x:c>
      <x:c r="C91" s="59" t="str">
        <x:v>10n</x:v>
      </x:c>
      <x:c r="D91" s="59" t="str">
        <x:v>10n</x:v>
      </x:c>
      <x:c r="E91" s="59" t="str">
        <x:v>Capacitor_SMD:C_0402_1005Metric</x:v>
      </x:c>
      <x:c r="F91" s="60" t="n">
        <x:v>2</x:v>
      </x:c>
      <x:c r="G91" s="59" t="str">
        <x:v>C105, C81</x:v>
      </x:c>
      <x:c r="H91" s="59" t="str">
        <x:v>Allowance</x:v>
      </x:c>
      <x:c r="I91" s="61" t="n">
        <x:f>ROUND(SUMIF('Price Inputs'!$A$5:$A$139,C91,'Price Inputs'!$D$5:$D$139),2)</x:f>
        <x:v>1.8</x:v>
      </x:c>
      <x:c r="J91" s="61" t="n">
        <x:f>ROUND(F91*I91,2)</x:f>
        <x:v>3.6</x:v>
      </x:c>
      <x:c r="K91" s="61" t="n">
        <x:f>ROUND(SUMIF('Price Inputs'!$A$5:$A$139,C91,'Price Inputs'!$E$5:$E$139),2)</x:f>
        <x:v>0.7</x:v>
      </x:c>
      <x:c r="L91" s="61" t="n">
        <x:f>ROUND(F91*K91,2)</x:f>
        <x:v>1.4</x:v>
      </x:c>
      <x:c r="M91" s="59" t="str">
        <x:v>Estimate</x:v>
      </x:c>
    </x:row>
    <x:row r="92" ht="15" hidden="0" customHeight="1">
      <x:c r="A92" s="59" t="str">
        <x:v>Flight Control Rev-B</x:v>
      </x:c>
      <x:c r="B92" s="59" t="str">
        <x:v>Commodity / unspecified</x:v>
      </x:c>
      <x:c r="C92" s="59" t="str">
        <x:v>10u</x:v>
      </x:c>
      <x:c r="D92" s="59" t="str">
        <x:v>10u</x:v>
      </x:c>
      <x:c r="E92" s="59" t="str">
        <x:v>Capacitor_SMD:C_0805_2012Metric</x:v>
      </x:c>
      <x:c r="F92" s="60" t="n">
        <x:v>1</x:v>
      </x:c>
      <x:c r="G92" s="59" t="str">
        <x:v>C70</x:v>
      </x:c>
      <x:c r="H92" s="59" t="str">
        <x:v>Allowance</x:v>
      </x:c>
      <x:c r="I92" s="61" t="n">
        <x:f>ROUND(SUMIF('Price Inputs'!$A$5:$A$139,C92,'Price Inputs'!$D$5:$D$139),2)</x:f>
        <x:v>9</x:v>
      </x:c>
      <x:c r="J92" s="61" t="n">
        <x:f>ROUND(F92*I92,2)</x:f>
        <x:v>9</x:v>
      </x:c>
      <x:c r="K92" s="61" t="n">
        <x:f>ROUND(SUMIF('Price Inputs'!$A$5:$A$139,C92,'Price Inputs'!$E$5:$E$139),2)</x:f>
        <x:v>4</x:v>
      </x:c>
      <x:c r="L92" s="61" t="n">
        <x:f>ROUND(F92*K92,2)</x:f>
        <x:v>4</x:v>
      </x:c>
      <x:c r="M92" s="59" t="str">
        <x:v>Estimate</x:v>
      </x:c>
    </x:row>
    <x:row r="93" ht="15" hidden="0" customHeight="1">
      <x:c r="A93" s="59" t="str">
        <x:v>Flight Control Rev-B</x:v>
      </x:c>
      <x:c r="B93" s="59" t="str">
        <x:v>Commodity / unspecified</x:v>
      </x:c>
      <x:c r="C93" s="59" t="str">
        <x:v>10u</x:v>
      </x:c>
      <x:c r="D93" s="59" t="str">
        <x:v>10u</x:v>
      </x:c>
      <x:c r="E93" s="59" t="str">
        <x:v>Capacitor_SMD:C_0603_1608Metric</x:v>
      </x:c>
      <x:c r="F93" s="60" t="n">
        <x:v>1</x:v>
      </x:c>
      <x:c r="G93" s="59" t="str">
        <x:v>C110</x:v>
      </x:c>
      <x:c r="H93" s="59" t="str">
        <x:v>Allowance</x:v>
      </x:c>
      <x:c r="I93" s="61" t="n">
        <x:f>ROUND(SUMIF('Price Inputs'!$A$5:$A$139,C93,'Price Inputs'!$D$5:$D$139),2)</x:f>
        <x:v>9</x:v>
      </x:c>
      <x:c r="J93" s="61" t="n">
        <x:f>ROUND(F93*I93,2)</x:f>
        <x:v>9</x:v>
      </x:c>
      <x:c r="K93" s="61" t="n">
        <x:f>ROUND(SUMIF('Price Inputs'!$A$5:$A$139,C93,'Price Inputs'!$E$5:$E$139),2)</x:f>
        <x:v>4</x:v>
      </x:c>
      <x:c r="L93" s="61" t="n">
        <x:f>ROUND(F93*K93,2)</x:f>
        <x:v>4</x:v>
      </x:c>
      <x:c r="M93" s="59" t="str">
        <x:v>Estimate</x:v>
      </x:c>
    </x:row>
    <x:row r="94" ht="15" hidden="0" customHeight="1">
      <x:c r="A94" s="59" t="str">
        <x:v>Flight Control Rev-B</x:v>
      </x:c>
      <x:c r="B94" s="59" t="str">
        <x:v>Commodity / unspecified</x:v>
      </x:c>
      <x:c r="C94" s="59" t="str">
        <x:v>10u 10V</x:v>
      </x:c>
      <x:c r="D94" s="59" t="str">
        <x:v>10u 10V</x:v>
      </x:c>
      <x:c r="E94" s="59" t="str">
        <x:v>Capacitor_SMD:C_0805_2012Metric</x:v>
      </x:c>
      <x:c r="F94" s="60" t="n">
        <x:v>2</x:v>
      </x:c>
      <x:c r="G94" s="59" t="str">
        <x:v>C2, C6</x:v>
      </x:c>
      <x:c r="H94" s="59" t="str">
        <x:v>Allowance</x:v>
      </x:c>
      <x:c r="I94" s="61" t="n">
        <x:f>ROUND(SUMIF('Price Inputs'!$A$5:$A$139,C94,'Price Inputs'!$D$5:$D$139),2)</x:f>
        <x:v>9</x:v>
      </x:c>
      <x:c r="J94" s="61" t="n">
        <x:f>ROUND(F94*I94,2)</x:f>
        <x:v>18</x:v>
      </x:c>
      <x:c r="K94" s="61" t="n">
        <x:f>ROUND(SUMIF('Price Inputs'!$A$5:$A$139,C94,'Price Inputs'!$E$5:$E$139),2)</x:f>
        <x:v>4</x:v>
      </x:c>
      <x:c r="L94" s="61" t="n">
        <x:f>ROUND(F94*K94,2)</x:f>
        <x:v>8</x:v>
      </x:c>
      <x:c r="M94" s="59" t="str">
        <x:v>Estimate</x:v>
      </x:c>
    </x:row>
    <x:row r="95" ht="15" hidden="0" customHeight="1">
      <x:c r="A95" s="59" t="str">
        <x:v>Flight Control Rev-B</x:v>
      </x:c>
      <x:c r="B95" s="59" t="str">
        <x:v>Commodity / unspecified</x:v>
      </x:c>
      <x:c r="C95" s="59" t="str">
        <x:v>120 DNP</x:v>
      </x:c>
      <x:c r="D95" s="59" t="str">
        <x:v>120 DNP</x:v>
      </x:c>
      <x:c r="E95" s="59" t="str">
        <x:v>Resistor_SMD:R_0603_1608Metric</x:v>
      </x:c>
      <x:c r="F95" s="60" t="n">
        <x:v>1</x:v>
      </x:c>
      <x:c r="G95" s="59" t="str">
        <x:v>R122</x:v>
      </x:c>
      <x:c r="H95" s="59" t="str">
        <x:v>Allowance</x:v>
      </x:c>
      <x:c r="I95" s="61" t="n">
        <x:f>ROUND(SUMIF('Price Inputs'!$A$5:$A$139,C95,'Price Inputs'!$D$5:$D$139),2)</x:f>
        <x:v>0</x:v>
      </x:c>
      <x:c r="J95" s="61" t="n">
        <x:f>ROUND(F95*I95,2)</x:f>
        <x:v>0</x:v>
      </x:c>
      <x:c r="K95" s="61" t="n">
        <x:f>ROUND(SUMIF('Price Inputs'!$A$5:$A$139,C95,'Price Inputs'!$E$5:$E$139),2)</x:f>
        <x:v>0</x:v>
      </x:c>
      <x:c r="L95" s="61" t="n">
        <x:f>ROUND(F95*K95,2)</x:f>
        <x:v>0</x:v>
      </x:c>
      <x:c r="M95" s="59" t="str">
        <x:v>DNP</x:v>
      </x:c>
    </x:row>
    <x:row r="96" ht="15" hidden="0" customHeight="1">
      <x:c r="A96" s="59" t="str">
        <x:v>Flight Control Rev-B</x:v>
      </x:c>
      <x:c r="B96" s="59" t="str">
        <x:v>Commodity / unspecified</x:v>
      </x:c>
      <x:c r="C96" s="59" t="str">
        <x:v>12p C0G</x:v>
      </x:c>
      <x:c r="D96" s="59" t="str">
        <x:v>12p C0G</x:v>
      </x:c>
      <x:c r="E96" s="59" t="str">
        <x:v>Capacitor_SMD:C_0402_1005Metric</x:v>
      </x:c>
      <x:c r="F96" s="60" t="n">
        <x:v>2</x:v>
      </x:c>
      <x:c r="G96" s="59" t="str">
        <x:v>C92, C93</x:v>
      </x:c>
      <x:c r="H96" s="59" t="str">
        <x:v>Allowance</x:v>
      </x:c>
      <x:c r="I96" s="61" t="n">
        <x:f>ROUND(SUMIF('Price Inputs'!$A$5:$A$139,C96,'Price Inputs'!$D$5:$D$139),2)</x:f>
        <x:v>3.5</x:v>
      </x:c>
      <x:c r="J96" s="61" t="n">
        <x:f>ROUND(F96*I96,2)</x:f>
        <x:v>7</x:v>
      </x:c>
      <x:c r="K96" s="61" t="n">
        <x:f>ROUND(SUMIF('Price Inputs'!$A$5:$A$139,C96,'Price Inputs'!$E$5:$E$139),2)</x:f>
        <x:v>1.5</x:v>
      </x:c>
      <x:c r="L96" s="61" t="n">
        <x:f>ROUND(F96*K96,2)</x:f>
        <x:v>3</x:v>
      </x:c>
      <x:c r="M96" s="59" t="str">
        <x:v>Estimate</x:v>
      </x:c>
    </x:row>
    <x:row r="97" ht="15" hidden="0" customHeight="1">
      <x:c r="A97" s="59" t="str">
        <x:v>Flight Control Rev-B</x:v>
      </x:c>
      <x:c r="B97" s="59" t="str">
        <x:v>Commodity / unspecified</x:v>
      </x:c>
      <x:c r="C97" s="59" t="str">
        <x:v>15p C0G</x:v>
      </x:c>
      <x:c r="D97" s="59" t="str">
        <x:v>15p C0G</x:v>
      </x:c>
      <x:c r="E97" s="59" t="str">
        <x:v>Capacitor_SMD:C_0402_1005Metric</x:v>
      </x:c>
      <x:c r="F97" s="60" t="n">
        <x:v>6</x:v>
      </x:c>
      <x:c r="G97" s="59" t="str">
        <x:v>C120, C121, C20, C21, C86, C89</x:v>
      </x:c>
      <x:c r="H97" s="59" t="str">
        <x:v>Allowance</x:v>
      </x:c>
      <x:c r="I97" s="61" t="n">
        <x:f>ROUND(SUMIF('Price Inputs'!$A$5:$A$139,C97,'Price Inputs'!$D$5:$D$139),2)</x:f>
        <x:v>3.5</x:v>
      </x:c>
      <x:c r="J97" s="61" t="n">
        <x:f>ROUND(F97*I97,2)</x:f>
        <x:v>21</x:v>
      </x:c>
      <x:c r="K97" s="61" t="n">
        <x:f>ROUND(SUMIF('Price Inputs'!$A$5:$A$139,C97,'Price Inputs'!$E$5:$E$139),2)</x:f>
        <x:v>1.5</x:v>
      </x:c>
      <x:c r="L97" s="61" t="n">
        <x:f>ROUND(F97*K97,2)</x:f>
        <x:v>9</x:v>
      </x:c>
      <x:c r="M97" s="59" t="str">
        <x:v>Estimate</x:v>
      </x:c>
    </x:row>
    <x:row r="98" ht="15" hidden="0" customHeight="1">
      <x:c r="A98" s="59" t="str">
        <x:v>Flight Control Rev-B</x:v>
      </x:c>
      <x:c r="B98" s="59" t="str">
        <x:v>Commodity / unspecified</x:v>
      </x:c>
      <x:c r="C98" s="59" t="str">
        <x:v>1M</x:v>
      </x:c>
      <x:c r="D98" s="59" t="str">
        <x:v>1M</x:v>
      </x:c>
      <x:c r="E98" s="59" t="str">
        <x:v>Resistor_SMD:R_0603_1608Metric</x:v>
      </x:c>
      <x:c r="F98" s="60" t="n">
        <x:v>1</x:v>
      </x:c>
      <x:c r="G98" s="59" t="str">
        <x:v>R5</x:v>
      </x:c>
      <x:c r="H98" s="59" t="str">
        <x:v>Allowance</x:v>
      </x:c>
      <x:c r="I98" s="61" t="n">
        <x:f>ROUND(SUMIF('Price Inputs'!$A$5:$A$139,C98,'Price Inputs'!$D$5:$D$139),2)</x:f>
        <x:v>1.2</x:v>
      </x:c>
      <x:c r="J98" s="61" t="n">
        <x:f>ROUND(F98*I98,2)</x:f>
        <x:v>1.2</x:v>
      </x:c>
      <x:c r="K98" s="61" t="n">
        <x:f>ROUND(SUMIF('Price Inputs'!$A$5:$A$139,C98,'Price Inputs'!$E$5:$E$139),2)</x:f>
        <x:v>0.45</x:v>
      </x:c>
      <x:c r="L98" s="61" t="n">
        <x:f>ROUND(F98*K98,2)</x:f>
        <x:v>0.45</x:v>
      </x:c>
      <x:c r="M98" s="59" t="str">
        <x:v>Estimate</x:v>
      </x:c>
    </x:row>
    <x:row r="99" ht="15" hidden="0" customHeight="1">
      <x:c r="A99" s="59" t="str">
        <x:v>Flight Control Rev-B</x:v>
      </x:c>
      <x:c r="B99" s="59" t="str">
        <x:v>Commodity / unspecified</x:v>
      </x:c>
      <x:c r="C99" s="59" t="str">
        <x:v>1k</x:v>
      </x:c>
      <x:c r="D99" s="59" t="str">
        <x:v>1k</x:v>
      </x:c>
      <x:c r="E99" s="59" t="str">
        <x:v>Resistor_SMD:R_0603_1608Metric</x:v>
      </x:c>
      <x:c r="F99" s="60" t="n">
        <x:v>2</x:v>
      </x:c>
      <x:c r="G99" s="59" t="str">
        <x:v>R13, R30</x:v>
      </x:c>
      <x:c r="H99" s="59" t="str">
        <x:v>Allowance</x:v>
      </x:c>
      <x:c r="I99" s="61" t="n">
        <x:f>ROUND(SUMIF('Price Inputs'!$A$5:$A$139,C99,'Price Inputs'!$D$5:$D$139),2)</x:f>
        <x:v>1.2</x:v>
      </x:c>
      <x:c r="J99" s="61" t="n">
        <x:f>ROUND(F99*I99,2)</x:f>
        <x:v>2.4</x:v>
      </x:c>
      <x:c r="K99" s="61" t="n">
        <x:f>ROUND(SUMIF('Price Inputs'!$A$5:$A$139,C99,'Price Inputs'!$E$5:$E$139),2)</x:f>
        <x:v>0.45</x:v>
      </x:c>
      <x:c r="L99" s="61" t="n">
        <x:f>ROUND(F99*K99,2)</x:f>
        <x:v>0.9</x:v>
      </x:c>
      <x:c r="M99" s="59" t="str">
        <x:v>Estimate</x:v>
      </x:c>
    </x:row>
    <x:row r="100" ht="15" hidden="0" customHeight="1">
      <x:c r="A100" s="59" t="str">
        <x:v>Flight Control Rev-B</x:v>
      </x:c>
      <x:c r="B100" s="59" t="str">
        <x:v>Commodity / unspecified</x:v>
      </x:c>
      <x:c r="C100" s="59" t="str">
        <x:v>1n</x:v>
      </x:c>
      <x:c r="D100" s="59" t="str">
        <x:v>1n</x:v>
      </x:c>
      <x:c r="E100" s="59" t="str">
        <x:v>Capacitor_SMD:C_0402_1005Metric</x:v>
      </x:c>
      <x:c r="F100" s="60" t="n">
        <x:v>1</x:v>
      </x:c>
      <x:c r="G100" s="59" t="str">
        <x:v>C113</x:v>
      </x:c>
      <x:c r="H100" s="59" t="str">
        <x:v>Allowance</x:v>
      </x:c>
      <x:c r="I100" s="61" t="n">
        <x:f>ROUND(SUMIF('Price Inputs'!$A$5:$A$139,C100,'Price Inputs'!$D$5:$D$139),2)</x:f>
        <x:v>1.8</x:v>
      </x:c>
      <x:c r="J100" s="61" t="n">
        <x:f>ROUND(F100*I100,2)</x:f>
        <x:v>1.8</x:v>
      </x:c>
      <x:c r="K100" s="61" t="n">
        <x:f>ROUND(SUMIF('Price Inputs'!$A$5:$A$139,C100,'Price Inputs'!$E$5:$E$139),2)</x:f>
        <x:v>0.7</x:v>
      </x:c>
      <x:c r="L100" s="61" t="n">
        <x:f>ROUND(F100*K100,2)</x:f>
        <x:v>0.7</x:v>
      </x:c>
      <x:c r="M100" s="59" t="str">
        <x:v>Estimate</x:v>
      </x:c>
    </x:row>
    <x:row r="101" ht="15" hidden="0" customHeight="1">
      <x:c r="A101" s="59" t="str">
        <x:v>Flight Control Rev-B</x:v>
      </x:c>
      <x:c r="B101" s="59" t="str">
        <x:v>Commodity / unspecified</x:v>
      </x:c>
      <x:c r="C101" s="59" t="str">
        <x:v>1u</x:v>
      </x:c>
      <x:c r="D101" s="59" t="str">
        <x:v>1u</x:v>
      </x:c>
      <x:c r="E101" s="59" t="str">
        <x:v>Capacitor_SMD:C_0603_1608Metric</x:v>
      </x:c>
      <x:c r="F101" s="60" t="n">
        <x:v>5</x:v>
      </x:c>
      <x:c r="G101" s="59" t="str">
        <x:v>C114, C3, C4, C7, C8</x:v>
      </x:c>
      <x:c r="H101" s="59" t="str">
        <x:v>Allowance</x:v>
      </x:c>
      <x:c r="I101" s="61" t="n">
        <x:f>ROUND(SUMIF('Price Inputs'!$A$5:$A$139,C101,'Price Inputs'!$D$5:$D$139),2)</x:f>
        <x:v>1.8</x:v>
      </x:c>
      <x:c r="J101" s="61" t="n">
        <x:f>ROUND(F101*I101,2)</x:f>
        <x:v>9</x:v>
      </x:c>
      <x:c r="K101" s="61" t="n">
        <x:f>ROUND(SUMIF('Price Inputs'!$A$5:$A$139,C101,'Price Inputs'!$E$5:$E$139),2)</x:f>
        <x:v>0.7</x:v>
      </x:c>
      <x:c r="L101" s="61" t="n">
        <x:f>ROUND(F101*K101,2)</x:f>
        <x:v>3.5</x:v>
      </x:c>
      <x:c r="M101" s="59" t="str">
        <x:v>Estimate</x:v>
      </x:c>
    </x:row>
    <x:row r="102" ht="15" hidden="0" customHeight="1">
      <x:c r="A102" s="59" t="str">
        <x:v>Flight Control Rev-B</x:v>
      </x:c>
      <x:c r="B102" s="59" t="str">
        <x:v>Commodity / unspecified</x:v>
      </x:c>
      <x:c r="C102" s="59" t="str">
        <x:v>1u</x:v>
      </x:c>
      <x:c r="D102" s="59" t="str">
        <x:v>1u</x:v>
      </x:c>
      <x:c r="E102" s="59" t="str">
        <x:v>Capacitor_SMD:C_0402_1005Metric</x:v>
      </x:c>
      <x:c r="F102" s="60" t="n">
        <x:v>1</x:v>
      </x:c>
      <x:c r="G102" s="59" t="str">
        <x:v>C73</x:v>
      </x:c>
      <x:c r="H102" s="59" t="str">
        <x:v>Allowance</x:v>
      </x:c>
      <x:c r="I102" s="61" t="n">
        <x:f>ROUND(SUMIF('Price Inputs'!$A$5:$A$139,C102,'Price Inputs'!$D$5:$D$139),2)</x:f>
        <x:v>1.8</x:v>
      </x:c>
      <x:c r="J102" s="61" t="n">
        <x:f>ROUND(F102*I102,2)</x:f>
        <x:v>1.8</x:v>
      </x:c>
      <x:c r="K102" s="61" t="n">
        <x:f>ROUND(SUMIF('Price Inputs'!$A$5:$A$139,C102,'Price Inputs'!$E$5:$E$139),2)</x:f>
        <x:v>0.7</x:v>
      </x:c>
      <x:c r="L102" s="61" t="n">
        <x:f>ROUND(F102*K102,2)</x:f>
        <x:v>0.7</x:v>
      </x:c>
      <x:c r="M102" s="59" t="str">
        <x:v>Estimate</x:v>
      </x:c>
    </x:row>
    <x:row r="103" ht="15" hidden="0" customHeight="1">
      <x:c r="A103" s="59" t="str">
        <x:v>Flight Control Rev-B</x:v>
      </x:c>
      <x:c r="B103" s="59" t="str">
        <x:v>Commodity / unspecified</x:v>
      </x:c>
      <x:c r="C103" s="59" t="str">
        <x:v>2.2u</x:v>
      </x:c>
      <x:c r="D103" s="59" t="str">
        <x:v>2.2u</x:v>
      </x:c>
      <x:c r="E103" s="59" t="str">
        <x:v>Capacitor_SMD:C_0603_1608Metric</x:v>
      </x:c>
      <x:c r="F103" s="60" t="n">
        <x:v>5</x:v>
      </x:c>
      <x:c r="G103" s="59" t="str">
        <x:v>C100, C51, C53, C55, C57</x:v>
      </x:c>
      <x:c r="H103" s="59" t="str">
        <x:v>Allowance</x:v>
      </x:c>
      <x:c r="I103" s="61" t="n">
        <x:f>ROUND(SUMIF('Price Inputs'!$A$5:$A$139,C103,'Price Inputs'!$D$5:$D$139),2)</x:f>
        <x:v>1.8</x:v>
      </x:c>
      <x:c r="J103" s="61" t="n">
        <x:f>ROUND(F103*I103,2)</x:f>
        <x:v>9</x:v>
      </x:c>
      <x:c r="K103" s="61" t="n">
        <x:f>ROUND(SUMIF('Price Inputs'!$A$5:$A$139,C103,'Price Inputs'!$E$5:$E$139),2)</x:f>
        <x:v>0.7</x:v>
      </x:c>
      <x:c r="L103" s="61" t="n">
        <x:f>ROUND(F103*K103,2)</x:f>
        <x:v>3.5</x:v>
      </x:c>
      <x:c r="M103" s="59" t="str">
        <x:v>Estimate</x:v>
      </x:c>
    </x:row>
    <x:row r="104" ht="15" hidden="0" customHeight="1">
      <x:c r="A104" s="59" t="str">
        <x:v>Flight Control Rev-B</x:v>
      </x:c>
      <x:c r="B104" s="59" t="str">
        <x:v>Commodity / unspecified</x:v>
      </x:c>
      <x:c r="C104" s="59" t="str">
        <x:v>2.4p DNP</x:v>
      </x:c>
      <x:c r="D104" s="59" t="str">
        <x:v>2.4p DNP</x:v>
      </x:c>
      <x:c r="E104" s="59" t="str">
        <x:v>Capacitor_SMD:C_0402_1005Metric</x:v>
      </x:c>
      <x:c r="F104" s="60" t="n">
        <x:v>1</x:v>
      </x:c>
      <x:c r="G104" s="59" t="str">
        <x:v>C94</x:v>
      </x:c>
      <x:c r="H104" s="59" t="str">
        <x:v>Allowance</x:v>
      </x:c>
      <x:c r="I104" s="61" t="n">
        <x:f>ROUND(SUMIF('Price Inputs'!$A$5:$A$139,C104,'Price Inputs'!$D$5:$D$139),2)</x:f>
        <x:v>0</x:v>
      </x:c>
      <x:c r="J104" s="61" t="n">
        <x:f>ROUND(F104*I104,2)</x:f>
        <x:v>0</x:v>
      </x:c>
      <x:c r="K104" s="61" t="n">
        <x:f>ROUND(SUMIF('Price Inputs'!$A$5:$A$139,C104,'Price Inputs'!$E$5:$E$139),2)</x:f>
        <x:v>0</x:v>
      </x:c>
      <x:c r="L104" s="61" t="n">
        <x:f>ROUND(F104*K104,2)</x:f>
        <x:v>0</x:v>
      </x:c>
      <x:c r="M104" s="59" t="str">
        <x:v>DNP</x:v>
      </x:c>
    </x:row>
    <x:row r="105" ht="15" hidden="0" customHeight="1">
      <x:c r="A105" s="59" t="str">
        <x:v>Flight Control Rev-B</x:v>
      </x:c>
      <x:c r="B105" s="59" t="str">
        <x:v>Commodity / unspecified</x:v>
      </x:c>
      <x:c r="C105" s="59" t="str">
        <x:v>2.7p DNP</x:v>
      </x:c>
      <x:c r="D105" s="59" t="str">
        <x:v>2.7p DNP</x:v>
      </x:c>
      <x:c r="E105" s="59" t="str">
        <x:v>Capacitor_SMD:C_0402_1005Metric</x:v>
      </x:c>
      <x:c r="F105" s="60" t="n">
        <x:v>1</x:v>
      </x:c>
      <x:c r="G105" s="59" t="str">
        <x:v>C96</x:v>
      </x:c>
      <x:c r="H105" s="59" t="str">
        <x:v>Allowance</x:v>
      </x:c>
      <x:c r="I105" s="61" t="n">
        <x:f>ROUND(SUMIF('Price Inputs'!$A$5:$A$139,C105,'Price Inputs'!$D$5:$D$139),2)</x:f>
        <x:v>0</x:v>
      </x:c>
      <x:c r="J105" s="61" t="n">
        <x:f>ROUND(F105*I105,2)</x:f>
        <x:v>0</x:v>
      </x:c>
      <x:c r="K105" s="61" t="n">
        <x:f>ROUND(SUMIF('Price Inputs'!$A$5:$A$139,C105,'Price Inputs'!$E$5:$E$139),2)</x:f>
        <x:v>0</x:v>
      </x:c>
      <x:c r="L105" s="61" t="n">
        <x:f>ROUND(F105*K105,2)</x:f>
        <x:v>0</x:v>
      </x:c>
      <x:c r="M105" s="59" t="str">
        <x:v>DNP</x:v>
      </x:c>
    </x:row>
    <x:row r="106" ht="15" hidden="0" customHeight="1">
      <x:c r="A106" s="59" t="str">
        <x:v>Flight Control Rev-B</x:v>
      </x:c>
      <x:c r="B106" s="59" t="str">
        <x:v>Commodity / unspecified</x:v>
      </x:c>
      <x:c r="C106" s="59" t="str">
        <x:v>220n</x:v>
      </x:c>
      <x:c r="D106" s="59" t="str">
        <x:v>220n</x:v>
      </x:c>
      <x:c r="E106" s="59" t="str">
        <x:v>Capacitor_SMD:C_0402_1005Metric</x:v>
      </x:c>
      <x:c r="F106" s="60" t="n">
        <x:v>1</x:v>
      </x:c>
      <x:c r="G106" s="59" t="str">
        <x:v>C80</x:v>
      </x:c>
      <x:c r="H106" s="59" t="str">
        <x:v>Allowance</x:v>
      </x:c>
      <x:c r="I106" s="61" t="n">
        <x:f>ROUND(SUMIF('Price Inputs'!$A$5:$A$139,C106,'Price Inputs'!$D$5:$D$139),2)</x:f>
        <x:v>1.8</x:v>
      </x:c>
      <x:c r="J106" s="61" t="n">
        <x:f>ROUND(F106*I106,2)</x:f>
        <x:v>1.8</x:v>
      </x:c>
      <x:c r="K106" s="61" t="n">
        <x:f>ROUND(SUMIF('Price Inputs'!$A$5:$A$139,C106,'Price Inputs'!$E$5:$E$139),2)</x:f>
        <x:v>0.7</x:v>
      </x:c>
      <x:c r="L106" s="61" t="n">
        <x:f>ROUND(F106*K106,2)</x:f>
        <x:v>0.7</x:v>
      </x:c>
      <x:c r="M106" s="59" t="str">
        <x:v>Estimate</x:v>
      </x:c>
    </x:row>
    <x:row r="107" ht="15" hidden="0" customHeight="1">
      <x:c r="A107" s="59" t="str">
        <x:v>Flight Control Rev-B</x:v>
      </x:c>
      <x:c r="B107" s="59" t="str">
        <x:v>Commodity / unspecified</x:v>
      </x:c>
      <x:c r="C107" s="59" t="str">
        <x:v>22p C0G</x:v>
      </x:c>
      <x:c r="D107" s="59" t="str">
        <x:v>22p C0G</x:v>
      </x:c>
      <x:c r="E107" s="59" t="str">
        <x:v>Capacitor_SMD:C_0402_1005Metric</x:v>
      </x:c>
      <x:c r="F107" s="60" t="n">
        <x:v>1</x:v>
      </x:c>
      <x:c r="G107" s="59" t="str">
        <x:v>C84</x:v>
      </x:c>
      <x:c r="H107" s="59" t="str">
        <x:v>Allowance</x:v>
      </x:c>
      <x:c r="I107" s="61" t="n">
        <x:f>ROUND(SUMIF('Price Inputs'!$A$5:$A$139,C107,'Price Inputs'!$D$5:$D$139),2)</x:f>
        <x:v>3.5</x:v>
      </x:c>
      <x:c r="J107" s="61" t="n">
        <x:f>ROUND(F107*I107,2)</x:f>
        <x:v>3.5</x:v>
      </x:c>
      <x:c r="K107" s="61" t="n">
        <x:f>ROUND(SUMIF('Price Inputs'!$A$5:$A$139,C107,'Price Inputs'!$E$5:$E$139),2)</x:f>
        <x:v>1.5</x:v>
      </x:c>
      <x:c r="L107" s="61" t="n">
        <x:f>ROUND(F107*K107,2)</x:f>
        <x:v>1.5</x:v>
      </x:c>
      <x:c r="M107" s="59" t="str">
        <x:v>Estimate</x:v>
      </x:c>
    </x:row>
    <x:row r="108" ht="15" hidden="0" customHeight="1">
      <x:c r="A108" s="59" t="str">
        <x:v>Flight Control Rev-B</x:v>
      </x:c>
      <x:c r="B108" s="59" t="str">
        <x:v>Commodity / unspecified</x:v>
      </x:c>
      <x:c r="C108" s="59" t="str">
        <x:v>27</x:v>
      </x:c>
      <x:c r="D108" s="59" t="str">
        <x:v>27</x:v>
      </x:c>
      <x:c r="E108" s="59" t="str">
        <x:v>Resistor_SMD:R_0402_1005Metric</x:v>
      </x:c>
      <x:c r="F108" s="60" t="n">
        <x:v>2</x:v>
      </x:c>
      <x:c r="G108" s="59" t="str">
        <x:v>R10, R11</x:v>
      </x:c>
      <x:c r="H108" s="59" t="str">
        <x:v>Allowance</x:v>
      </x:c>
      <x:c r="I108" s="61" t="n">
        <x:f>ROUND(SUMIF('Price Inputs'!$A$5:$A$139,C108,'Price Inputs'!$D$5:$D$139),2)</x:f>
        <x:v>1.2</x:v>
      </x:c>
      <x:c r="J108" s="61" t="n">
        <x:f>ROUND(F108*I108,2)</x:f>
        <x:v>2.4</x:v>
      </x:c>
      <x:c r="K108" s="61" t="n">
        <x:f>ROUND(SUMIF('Price Inputs'!$A$5:$A$139,C108,'Price Inputs'!$E$5:$E$139),2)</x:f>
        <x:v>0.45</x:v>
      </x:c>
      <x:c r="L108" s="61" t="n">
        <x:f>ROUND(F108*K108,2)</x:f>
        <x:v>0.9</x:v>
      </x:c>
      <x:c r="M108" s="59" t="str">
        <x:v>Estimate</x:v>
      </x:c>
    </x:row>
    <x:row r="109" ht="15" hidden="0" customHeight="1">
      <x:c r="A109" s="59" t="str">
        <x:v>Flight Control Rev-B</x:v>
      </x:c>
      <x:c r="B109" s="59" t="str">
        <x:v>Commodity / unspecified</x:v>
      </x:c>
      <x:c r="C109" s="59" t="str">
        <x:v>27p</x:v>
      </x:c>
      <x:c r="D109" s="59" t="str">
        <x:v>27p</x:v>
      </x:c>
      <x:c r="E109" s="59" t="str">
        <x:v>Capacitor_SMD:C_0402_1005Metric</x:v>
      </x:c>
      <x:c r="F109" s="60" t="n">
        <x:v>1</x:v>
      </x:c>
      <x:c r="G109" s="59" t="str">
        <x:v>C111</x:v>
      </x:c>
      <x:c r="H109" s="59" t="str">
        <x:v>Allowance</x:v>
      </x:c>
      <x:c r="I109" s="61" t="n">
        <x:f>ROUND(SUMIF('Price Inputs'!$A$5:$A$139,C109,'Price Inputs'!$D$5:$D$139),2)</x:f>
        <x:v>1.8</x:v>
      </x:c>
      <x:c r="J109" s="61" t="n">
        <x:f>ROUND(F109*I109,2)</x:f>
        <x:v>1.8</x:v>
      </x:c>
      <x:c r="K109" s="61" t="n">
        <x:f>ROUND(SUMIF('Price Inputs'!$A$5:$A$139,C109,'Price Inputs'!$E$5:$E$139),2)</x:f>
        <x:v>0.7</x:v>
      </x:c>
      <x:c r="L109" s="61" t="n">
        <x:f>ROUND(F109*K109,2)</x:f>
        <x:v>0.7</x:v>
      </x:c>
      <x:c r="M109" s="59" t="str">
        <x:v>Estimate</x:v>
      </x:c>
    </x:row>
    <x:row r="110" ht="15" hidden="0" customHeight="1">
      <x:c r="A110" s="59" t="str">
        <x:v>Flight Control Rev-B</x:v>
      </x:c>
      <x:c r="B110" s="59" t="str">
        <x:v>Commodity / unspecified</x:v>
      </x:c>
      <x:c r="C110" s="59" t="str">
        <x:v>3.3k</x:v>
      </x:c>
      <x:c r="D110" s="59" t="str">
        <x:v>3.3k</x:v>
      </x:c>
      <x:c r="E110" s="59" t="str">
        <x:v>Resistor_SMD:R_0402_1005Metric</x:v>
      </x:c>
      <x:c r="F110" s="60" t="n">
        <x:v>1</x:v>
      </x:c>
      <x:c r="G110" s="59" t="str">
        <x:v>R50</x:v>
      </x:c>
      <x:c r="H110" s="59" t="str">
        <x:v>Allowance</x:v>
      </x:c>
      <x:c r="I110" s="61" t="n">
        <x:f>ROUND(SUMIF('Price Inputs'!$A$5:$A$139,C110,'Price Inputs'!$D$5:$D$139),2)</x:f>
        <x:v>1.2</x:v>
      </x:c>
      <x:c r="J110" s="61" t="n">
        <x:f>ROUND(F110*I110,2)</x:f>
        <x:v>1.2</x:v>
      </x:c>
      <x:c r="K110" s="61" t="n">
        <x:f>ROUND(SUMIF('Price Inputs'!$A$5:$A$139,C110,'Price Inputs'!$E$5:$E$139),2)</x:f>
        <x:v>0.45</x:v>
      </x:c>
      <x:c r="L110" s="61" t="n">
        <x:f>ROUND(F110*K110,2)</x:f>
        <x:v>0.45</x:v>
      </x:c>
      <x:c r="M110" s="59" t="str">
        <x:v>Estimate</x:v>
      </x:c>
    </x:row>
    <x:row r="111" ht="15" hidden="0" customHeight="1">
      <x:c r="A111" s="59" t="str">
        <x:v>Flight Control Rev-B</x:v>
      </x:c>
      <x:c r="B111" s="59" t="str">
        <x:v>Commodity / unspecified</x:v>
      </x:c>
      <x:c r="C111" s="59" t="str">
        <x:v>3.3p C0G</x:v>
      </x:c>
      <x:c r="D111" s="59" t="str">
        <x:v>3.3p C0G</x:v>
      </x:c>
      <x:c r="E111" s="59" t="str">
        <x:v>Capacitor_SMD:C_0402_1005Metric</x:v>
      </x:c>
      <x:c r="F111" s="60" t="n">
        <x:v>1</x:v>
      </x:c>
      <x:c r="G111" s="59" t="str">
        <x:v>C91</x:v>
      </x:c>
      <x:c r="H111" s="59" t="str">
        <x:v>Allowance</x:v>
      </x:c>
      <x:c r="I111" s="61" t="n">
        <x:f>ROUND(SUMIF('Price Inputs'!$A$5:$A$139,C111,'Price Inputs'!$D$5:$D$139),2)</x:f>
        <x:v>3.5</x:v>
      </x:c>
      <x:c r="J111" s="61" t="n">
        <x:f>ROUND(F111*I111,2)</x:f>
        <x:v>3.5</x:v>
      </x:c>
      <x:c r="K111" s="61" t="n">
        <x:f>ROUND(SUMIF('Price Inputs'!$A$5:$A$139,C111,'Price Inputs'!$E$5:$E$139),2)</x:f>
        <x:v>1.5</x:v>
      </x:c>
      <x:c r="L111" s="61" t="n">
        <x:f>ROUND(F111*K111,2)</x:f>
        <x:v>1.5</x:v>
      </x:c>
      <x:c r="M111" s="59" t="str">
        <x:v>Estimate</x:v>
      </x:c>
    </x:row>
    <x:row r="112" ht="15" hidden="0" customHeight="1">
      <x:c r="A112" s="59" t="str">
        <x:v>Flight Control Rev-B</x:v>
      </x:c>
      <x:c r="B112" s="59" t="str">
        <x:v>Commodity / unspecified</x:v>
      </x:c>
      <x:c r="C112" s="59" t="str">
        <x:v>33</x:v>
      </x:c>
      <x:c r="D112" s="59" t="str">
        <x:v>33</x:v>
      </x:c>
      <x:c r="E112" s="59" t="str">
        <x:v>Resistor_SMD:R_0402_1005Metric</x:v>
      </x:c>
      <x:c r="F112" s="60" t="n">
        <x:v>1</x:v>
      </x:c>
      <x:c r="G112" s="59" t="str">
        <x:v>R4</x:v>
      </x:c>
      <x:c r="H112" s="59" t="str">
        <x:v>Allowance</x:v>
      </x:c>
      <x:c r="I112" s="61" t="n">
        <x:f>ROUND(SUMIF('Price Inputs'!$A$5:$A$139,C112,'Price Inputs'!$D$5:$D$139),2)</x:f>
        <x:v>1.2</x:v>
      </x:c>
      <x:c r="J112" s="61" t="n">
        <x:f>ROUND(F112*I112,2)</x:f>
        <x:v>1.2</x:v>
      </x:c>
      <x:c r="K112" s="61" t="n">
        <x:f>ROUND(SUMIF('Price Inputs'!$A$5:$A$139,C112,'Price Inputs'!$E$5:$E$139),2)</x:f>
        <x:v>0.45</x:v>
      </x:c>
      <x:c r="L112" s="61" t="n">
        <x:f>ROUND(F112*K112,2)</x:f>
        <x:v>0.45</x:v>
      </x:c>
      <x:c r="M112" s="59" t="str">
        <x:v>Estimate</x:v>
      </x:c>
    </x:row>
    <x:row r="113" ht="15" hidden="0" customHeight="1">
      <x:c r="A113" s="59" t="str">
        <x:v>Flight Control Rev-B</x:v>
      </x:c>
      <x:c r="B113" s="59" t="str">
        <x:v>Commodity / unspecified</x:v>
      </x:c>
      <x:c r="C113" s="59" t="str">
        <x:v>33</x:v>
      </x:c>
      <x:c r="D113" s="59" t="str">
        <x:v>33</x:v>
      </x:c>
      <x:c r="E113" s="59" t="str">
        <x:v>Resistor_SMD:R_0603_1608Metric</x:v>
      </x:c>
      <x:c r="F113" s="60" t="n">
        <x:v>1</x:v>
      </x:c>
      <x:c r="G113" s="59" t="str">
        <x:v>R32</x:v>
      </x:c>
      <x:c r="H113" s="59" t="str">
        <x:v>Allowance</x:v>
      </x:c>
      <x:c r="I113" s="61" t="n">
        <x:f>ROUND(SUMIF('Price Inputs'!$A$5:$A$139,C113,'Price Inputs'!$D$5:$D$139),2)</x:f>
        <x:v>1.2</x:v>
      </x:c>
      <x:c r="J113" s="61" t="n">
        <x:f>ROUND(F113*I113,2)</x:f>
        <x:v>1.2</x:v>
      </x:c>
      <x:c r="K113" s="61" t="n">
        <x:f>ROUND(SUMIF('Price Inputs'!$A$5:$A$139,C113,'Price Inputs'!$E$5:$E$139),2)</x:f>
        <x:v>0.45</x:v>
      </x:c>
      <x:c r="L113" s="61" t="n">
        <x:f>ROUND(F113*K113,2)</x:f>
        <x:v>0.45</x:v>
      </x:c>
      <x:c r="M113" s="59" t="str">
        <x:v>Estimate</x:v>
      </x:c>
    </x:row>
    <x:row r="114" ht="15" hidden="0" customHeight="1">
      <x:c r="A114" s="59" t="str">
        <x:v>Flight Control Rev-B</x:v>
      </x:c>
      <x:c r="B114" s="59" t="str">
        <x:v>Commodity / unspecified</x:v>
      </x:c>
      <x:c r="C114" s="59" t="str">
        <x:v>33p C0G</x:v>
      </x:c>
      <x:c r="D114" s="59" t="str">
        <x:v>33p C0G</x:v>
      </x:c>
      <x:c r="E114" s="59" t="str">
        <x:v>Capacitor_SMD:C_0402_1005Metric</x:v>
      </x:c>
      <x:c r="F114" s="60" t="n">
        <x:v>3</x:v>
      </x:c>
      <x:c r="G114" s="59" t="str">
        <x:v>C72, C76, C85</x:v>
      </x:c>
      <x:c r="H114" s="59" t="str">
        <x:v>Allowance</x:v>
      </x:c>
      <x:c r="I114" s="61" t="n">
        <x:f>ROUND(SUMIF('Price Inputs'!$A$5:$A$139,C114,'Price Inputs'!$D$5:$D$139),2)</x:f>
        <x:v>3.5</x:v>
      </x:c>
      <x:c r="J114" s="61" t="n">
        <x:f>ROUND(F114*I114,2)</x:f>
        <x:v>10.5</x:v>
      </x:c>
      <x:c r="K114" s="61" t="n">
        <x:f>ROUND(SUMIF('Price Inputs'!$A$5:$A$139,C114,'Price Inputs'!$E$5:$E$139),2)</x:f>
        <x:v>1.5</x:v>
      </x:c>
      <x:c r="L114" s="61" t="n">
        <x:f>ROUND(F114*K114,2)</x:f>
        <x:v>4.5</x:v>
      </x:c>
      <x:c r="M114" s="59" t="str">
        <x:v>Estimate</x:v>
      </x:c>
    </x:row>
    <x:row r="115" ht="15" hidden="0" customHeight="1">
      <x:c r="A115" s="59" t="str">
        <x:v>Flight Control Rev-B</x:v>
      </x:c>
      <x:c r="B115" s="59" t="str">
        <x:v>Commodity / unspecified</x:v>
      </x:c>
      <x:c r="C115" s="59" t="str">
        <x:v>4.7k</x:v>
      </x:c>
      <x:c r="D115" s="59" t="str">
        <x:v>4.7k</x:v>
      </x:c>
      <x:c r="E115" s="59" t="str">
        <x:v>Resistor_SMD:R_0603_1608Metric</x:v>
      </x:c>
      <x:c r="F115" s="60" t="n">
        <x:v>2</x:v>
      </x:c>
      <x:c r="G115" s="59" t="str">
        <x:v>R20, R21</x:v>
      </x:c>
      <x:c r="H115" s="59" t="str">
        <x:v>Allowance</x:v>
      </x:c>
      <x:c r="I115" s="61" t="n">
        <x:f>ROUND(SUMIF('Price Inputs'!$A$5:$A$139,C115,'Price Inputs'!$D$5:$D$139),2)</x:f>
        <x:v>1.2</x:v>
      </x:c>
      <x:c r="J115" s="61" t="n">
        <x:f>ROUND(F115*I115,2)</x:f>
        <x:v>2.4</x:v>
      </x:c>
      <x:c r="K115" s="61" t="n">
        <x:f>ROUND(SUMIF('Price Inputs'!$A$5:$A$139,C115,'Price Inputs'!$E$5:$E$139),2)</x:f>
        <x:v>0.45</x:v>
      </x:c>
      <x:c r="L115" s="61" t="n">
        <x:f>ROUND(F115*K115,2)</x:f>
        <x:v>0.9</x:v>
      </x:c>
      <x:c r="M115" s="59" t="str">
        <x:v>Estimate</x:v>
      </x:c>
    </x:row>
    <x:row r="116" ht="15" hidden="0" customHeight="1">
      <x:c r="A116" s="59" t="str">
        <x:v>Flight Control Rev-B</x:v>
      </x:c>
      <x:c r="B116" s="59" t="str">
        <x:v>Commodity / unspecified</x:v>
      </x:c>
      <x:c r="C116" s="59" t="str">
        <x:v>4.7n 2kV</x:v>
      </x:c>
      <x:c r="D116" s="59" t="str">
        <x:v>4.7n 2kV</x:v>
      </x:c>
      <x:c r="E116" s="59" t="str">
        <x:v>Capacitor_SMD:C_1206_3216Metric</x:v>
      </x:c>
      <x:c r="F116" s="60" t="n">
        <x:v>1</x:v>
      </x:c>
      <x:c r="G116" s="59" t="str">
        <x:v>C5</x:v>
      </x:c>
      <x:c r="H116" s="59" t="str">
        <x:v>Allowance</x:v>
      </x:c>
      <x:c r="I116" s="61" t="n">
        <x:f>ROUND(SUMIF('Price Inputs'!$A$5:$A$139,C116,'Price Inputs'!$D$5:$D$139),2)</x:f>
        <x:v>1.8</x:v>
      </x:c>
      <x:c r="J116" s="61" t="n">
        <x:f>ROUND(F116*I116,2)</x:f>
        <x:v>1.8</x:v>
      </x:c>
      <x:c r="K116" s="61" t="n">
        <x:f>ROUND(SUMIF('Price Inputs'!$A$5:$A$139,C116,'Price Inputs'!$E$5:$E$139),2)</x:f>
        <x:v>0.7</x:v>
      </x:c>
      <x:c r="L116" s="61" t="n">
        <x:f>ROUND(F116*K116,2)</x:f>
        <x:v>0.7</x:v>
      </x:c>
      <x:c r="M116" s="59" t="str">
        <x:v>Estimate</x:v>
      </x:c>
    </x:row>
    <x:row r="117" ht="15" hidden="0" customHeight="1">
      <x:c r="A117" s="59" t="str">
        <x:v>Flight Control Rev-B</x:v>
      </x:c>
      <x:c r="B117" s="59" t="str">
        <x:v>Commodity / unspecified</x:v>
      </x:c>
      <x:c r="C117" s="59" t="str">
        <x:v>4.7u</x:v>
      </x:c>
      <x:c r="D117" s="59" t="str">
        <x:v>4.7u</x:v>
      </x:c>
      <x:c r="E117" s="59" t="str">
        <x:v>Capacitor_SMD:C_0402_1005Metric</x:v>
      </x:c>
      <x:c r="F117" s="60" t="n">
        <x:v>4</x:v>
      </x:c>
      <x:c r="G117" s="59" t="str">
        <x:v>C10, C11, C12, C13</x:v>
      </x:c>
      <x:c r="H117" s="59" t="str">
        <x:v>Allowance</x:v>
      </x:c>
      <x:c r="I117" s="61" t="n">
        <x:f>ROUND(SUMIF('Price Inputs'!$A$5:$A$139,C117,'Price Inputs'!$D$5:$D$139),2)</x:f>
        <x:v>1.8</x:v>
      </x:c>
      <x:c r="J117" s="61" t="n">
        <x:f>ROUND(F117*I117,2)</x:f>
        <x:v>7.2</x:v>
      </x:c>
      <x:c r="K117" s="61" t="n">
        <x:f>ROUND(SUMIF('Price Inputs'!$A$5:$A$139,C117,'Price Inputs'!$E$5:$E$139),2)</x:f>
        <x:v>0.7</x:v>
      </x:c>
      <x:c r="L117" s="61" t="n">
        <x:f>ROUND(F117*K117,2)</x:f>
        <x:v>2.8</x:v>
      </x:c>
      <x:c r="M117" s="59" t="str">
        <x:v>Estimate</x:v>
      </x:c>
    </x:row>
    <x:row r="118" ht="15" hidden="0" customHeight="1">
      <x:c r="A118" s="59" t="str">
        <x:v>Flight Control Rev-B</x:v>
      </x:c>
      <x:c r="B118" s="59" t="str">
        <x:v>Commodity / unspecified</x:v>
      </x:c>
      <x:c r="C118" s="59" t="str">
        <x:v>4.7u</x:v>
      </x:c>
      <x:c r="D118" s="59" t="str">
        <x:v>4.7u</x:v>
      </x:c>
      <x:c r="E118" s="59" t="str">
        <x:v>Capacitor_SMD:C_0805_2012Metric</x:v>
      </x:c>
      <x:c r="F118" s="60" t="n">
        <x:v>1</x:v>
      </x:c>
      <x:c r="G118" s="59" t="str">
        <x:v>C74</x:v>
      </x:c>
      <x:c r="H118" s="59" t="str">
        <x:v>Allowance</x:v>
      </x:c>
      <x:c r="I118" s="61" t="n">
        <x:f>ROUND(SUMIF('Price Inputs'!$A$5:$A$139,C118,'Price Inputs'!$D$5:$D$139),2)</x:f>
        <x:v>1.8</x:v>
      </x:c>
      <x:c r="J118" s="61" t="n">
        <x:f>ROUND(F118*I118,2)</x:f>
        <x:v>1.8</x:v>
      </x:c>
      <x:c r="K118" s="61" t="n">
        <x:f>ROUND(SUMIF('Price Inputs'!$A$5:$A$139,C118,'Price Inputs'!$E$5:$E$139),2)</x:f>
        <x:v>0.7</x:v>
      </x:c>
      <x:c r="L118" s="61" t="n">
        <x:f>ROUND(F118*K118,2)</x:f>
        <x:v>0.7</x:v>
      </x:c>
      <x:c r="M118" s="59" t="str">
        <x:v>Estimate</x:v>
      </x:c>
    </x:row>
    <x:row r="119" ht="15" hidden="0" customHeight="1">
      <x:c r="A119" s="59" t="str">
        <x:v>Flight Control Rev-B</x:v>
      </x:c>
      <x:c r="B119" s="59" t="str">
        <x:v>Commodity / unspecified</x:v>
      </x:c>
      <x:c r="C119" s="59" t="str">
        <x:v>4.7u 10V</x:v>
      </x:c>
      <x:c r="D119" s="59" t="str">
        <x:v>4.7u 10V</x:v>
      </x:c>
      <x:c r="E119" s="59" t="str">
        <x:v>Capacitor_SMD:C_0805_2012Metric</x:v>
      </x:c>
      <x:c r="F119" s="60" t="n">
        <x:v>1</x:v>
      </x:c>
      <x:c r="G119" s="59" t="str">
        <x:v>C1</x:v>
      </x:c>
      <x:c r="H119" s="59" t="str">
        <x:v>Allowance</x:v>
      </x:c>
      <x:c r="I119" s="61" t="n">
        <x:f>ROUND(SUMIF('Price Inputs'!$A$5:$A$139,C119,'Price Inputs'!$D$5:$D$139),2)</x:f>
        <x:v>1.8</x:v>
      </x:c>
      <x:c r="J119" s="61" t="n">
        <x:f>ROUND(F119*I119,2)</x:f>
        <x:v>1.8</x:v>
      </x:c>
      <x:c r="K119" s="61" t="n">
        <x:f>ROUND(SUMIF('Price Inputs'!$A$5:$A$139,C119,'Price Inputs'!$E$5:$E$139),2)</x:f>
        <x:v>0.7</x:v>
      </x:c>
      <x:c r="L119" s="61" t="n">
        <x:f>ROUND(F119*K119,2)</x:f>
        <x:v>0.7</x:v>
      </x:c>
      <x:c r="M119" s="59" t="str">
        <x:v>Estimate</x:v>
      </x:c>
    </x:row>
    <x:row r="120" ht="15" hidden="0" customHeight="1">
      <x:c r="A120" s="59" t="str">
        <x:v>Flight Control Rev-B</x:v>
      </x:c>
      <x:c r="B120" s="59" t="str">
        <x:v>Commodity / unspecified</x:v>
      </x:c>
      <x:c r="C120" s="59" t="str">
        <x:v>453k 1%</x:v>
      </x:c>
      <x:c r="D120" s="59" t="str">
        <x:v>453k 1%</x:v>
      </x:c>
      <x:c r="E120" s="59" t="str">
        <x:v>Resistor_SMD:R_0402_1005Metric</x:v>
      </x:c>
      <x:c r="F120" s="60" t="n">
        <x:v>1</x:v>
      </x:c>
      <x:c r="G120" s="59" t="str">
        <x:v>R6</x:v>
      </x:c>
      <x:c r="H120" s="59" t="str">
        <x:v>Allowance</x:v>
      </x:c>
      <x:c r="I120" s="61" t="n">
        <x:f>ROUND(SUMIF('Price Inputs'!$A$5:$A$139,C120,'Price Inputs'!$D$5:$D$139),2)</x:f>
        <x:v>1.2</x:v>
      </x:c>
      <x:c r="J120" s="61" t="n">
        <x:f>ROUND(F120*I120,2)</x:f>
        <x:v>1.2</x:v>
      </x:c>
      <x:c r="K120" s="61" t="n">
        <x:f>ROUND(SUMIF('Price Inputs'!$A$5:$A$139,C120,'Price Inputs'!$E$5:$E$139),2)</x:f>
        <x:v>0.45</x:v>
      </x:c>
      <x:c r="L120" s="61" t="n">
        <x:f>ROUND(F120*K120,2)</x:f>
        <x:v>0.45</x:v>
      </x:c>
      <x:c r="M120" s="59" t="str">
        <x:v>Estimate</x:v>
      </x:c>
    </x:row>
    <x:row r="121" ht="15" hidden="0" customHeight="1">
      <x:c r="A121" s="59" t="str">
        <x:v>Flight Control Rev-B</x:v>
      </x:c>
      <x:c r="B121" s="59" t="str">
        <x:v>Commodity / unspecified</x:v>
      </x:c>
      <x:c r="C121" s="59" t="str">
        <x:v>47</x:v>
      </x:c>
      <x:c r="D121" s="59" t="str">
        <x:v>47</x:v>
      </x:c>
      <x:c r="E121" s="59" t="str">
        <x:v>Resistor_SMD:R_0402_1005Metric</x:v>
      </x:c>
      <x:c r="F121" s="60" t="n">
        <x:v>1</x:v>
      </x:c>
      <x:c r="G121" s="59" t="str">
        <x:v>R51</x:v>
      </x:c>
      <x:c r="H121" s="59" t="str">
        <x:v>Allowance</x:v>
      </x:c>
      <x:c r="I121" s="61" t="n">
        <x:f>ROUND(SUMIF('Price Inputs'!$A$5:$A$139,C121,'Price Inputs'!$D$5:$D$139),2)</x:f>
        <x:v>1.2</x:v>
      </x:c>
      <x:c r="J121" s="61" t="n">
        <x:f>ROUND(F121*I121,2)</x:f>
        <x:v>1.2</x:v>
      </x:c>
      <x:c r="K121" s="61" t="n">
        <x:f>ROUND(SUMIF('Price Inputs'!$A$5:$A$139,C121,'Price Inputs'!$E$5:$E$139),2)</x:f>
        <x:v>0.45</x:v>
      </x:c>
      <x:c r="L121" s="61" t="n">
        <x:f>ROUND(F121*K121,2)</x:f>
        <x:v>0.45</x:v>
      </x:c>
      <x:c r="M121" s="59" t="str">
        <x:v>Estimate</x:v>
      </x:c>
    </x:row>
    <x:row r="122" ht="15" hidden="0" customHeight="1">
      <x:c r="A122" s="59" t="str">
        <x:v>Flight Control Rev-B</x:v>
      </x:c>
      <x:c r="B122" s="59" t="str">
        <x:v>Commodity / unspecified</x:v>
      </x:c>
      <x:c r="C122" s="59" t="str">
        <x:v>47n</x:v>
      </x:c>
      <x:c r="D122" s="59" t="str">
        <x:v>47n</x:v>
      </x:c>
      <x:c r="E122" s="59" t="str">
        <x:v>Capacitor_SMD:C_0402_1005Metric</x:v>
      </x:c>
      <x:c r="F122" s="60" t="n">
        <x:v>5</x:v>
      </x:c>
      <x:c r="G122" s="59" t="str">
        <x:v>C102, C103, C104, C82, C83</x:v>
      </x:c>
      <x:c r="H122" s="59" t="str">
        <x:v>Allowance</x:v>
      </x:c>
      <x:c r="I122" s="61" t="n">
        <x:f>ROUND(SUMIF('Price Inputs'!$A$5:$A$139,C122,'Price Inputs'!$D$5:$D$139),2)</x:f>
        <x:v>1.8</x:v>
      </x:c>
      <x:c r="J122" s="61" t="n">
        <x:f>ROUND(F122*I122,2)</x:f>
        <x:v>9</x:v>
      </x:c>
      <x:c r="K122" s="61" t="n">
        <x:f>ROUND(SUMIF('Price Inputs'!$A$5:$A$139,C122,'Price Inputs'!$E$5:$E$139),2)</x:f>
        <x:v>0.7</x:v>
      </x:c>
      <x:c r="L122" s="61" t="n">
        <x:f>ROUND(F122*K122,2)</x:f>
        <x:v>3.5</x:v>
      </x:c>
      <x:c r="M122" s="59" t="str">
        <x:v>Estimate</x:v>
      </x:c>
    </x:row>
    <x:row r="123" ht="15" hidden="0" customHeight="1">
      <x:c r="A123" s="59" t="str">
        <x:v>Flight Control Rev-B</x:v>
      </x:c>
      <x:c r="B123" s="59" t="str">
        <x:v>Commodity / unspecified</x:v>
      </x:c>
      <x:c r="C123" s="59" t="str">
        <x:v>47p</x:v>
      </x:c>
      <x:c r="D123" s="59" t="str">
        <x:v>47p</x:v>
      </x:c>
      <x:c r="E123" s="59" t="str">
        <x:v>Capacitor_SMD:C_0402_1005Metric</x:v>
      </x:c>
      <x:c r="F123" s="60" t="n">
        <x:v>1</x:v>
      </x:c>
      <x:c r="G123" s="59" t="str">
        <x:v>C112</x:v>
      </x:c>
      <x:c r="H123" s="59" t="str">
        <x:v>Allowance</x:v>
      </x:c>
      <x:c r="I123" s="61" t="n">
        <x:f>ROUND(SUMIF('Price Inputs'!$A$5:$A$139,C123,'Price Inputs'!$D$5:$D$139),2)</x:f>
        <x:v>1.8</x:v>
      </x:c>
      <x:c r="J123" s="61" t="n">
        <x:f>ROUND(F123*I123,2)</x:f>
        <x:v>1.8</x:v>
      </x:c>
      <x:c r="K123" s="61" t="n">
        <x:f>ROUND(SUMIF('Price Inputs'!$A$5:$A$139,C123,'Price Inputs'!$E$5:$E$139),2)</x:f>
        <x:v>0.7</x:v>
      </x:c>
      <x:c r="L123" s="61" t="n">
        <x:f>ROUND(F123*K123,2)</x:f>
        <x:v>0.7</x:v>
      </x:c>
      <x:c r="M123" s="59" t="str">
        <x:v>Estimate</x:v>
      </x:c>
    </x:row>
    <x:row r="124" ht="15" hidden="0" customHeight="1">
      <x:c r="A124" s="59" t="str">
        <x:v>Flight Control Rev-B</x:v>
      </x:c>
      <x:c r="B124" s="59" t="str">
        <x:v>Commodity / unspecified</x:v>
      </x:c>
      <x:c r="C124" s="59" t="str">
        <x:v>47p C0G</x:v>
      </x:c>
      <x:c r="D124" s="59" t="str">
        <x:v>47p C0G</x:v>
      </x:c>
      <x:c r="E124" s="59" t="str">
        <x:v>Capacitor_SMD:C_0402_1005Metric</x:v>
      </x:c>
      <x:c r="F124" s="60" t="n">
        <x:v>1</x:v>
      </x:c>
      <x:c r="G124" s="59" t="str">
        <x:v>C90</x:v>
      </x:c>
      <x:c r="H124" s="59" t="str">
        <x:v>Allowance</x:v>
      </x:c>
      <x:c r="I124" s="61" t="n">
        <x:f>ROUND(SUMIF('Price Inputs'!$A$5:$A$139,C124,'Price Inputs'!$D$5:$D$139),2)</x:f>
        <x:v>3.5</x:v>
      </x:c>
      <x:c r="J124" s="61" t="n">
        <x:f>ROUND(F124*I124,2)</x:f>
        <x:v>3.5</x:v>
      </x:c>
      <x:c r="K124" s="61" t="n">
        <x:f>ROUND(SUMIF('Price Inputs'!$A$5:$A$139,C124,'Price Inputs'!$E$5:$E$139),2)</x:f>
        <x:v>1.5</x:v>
      </x:c>
      <x:c r="L124" s="61" t="n">
        <x:f>ROUND(F124*K124,2)</x:f>
        <x:v>1.5</x:v>
      </x:c>
      <x:c r="M124" s="59" t="str">
        <x:v>Estimate</x:v>
      </x:c>
    </x:row>
    <x:row r="125" ht="15" hidden="0" customHeight="1">
      <x:c r="A125" s="59" t="str">
        <x:v>Flight Control Rev-B</x:v>
      </x:c>
      <x:c r="B125" s="59" t="str">
        <x:v>Commodity / unspecified</x:v>
      </x:c>
      <x:c r="C125" s="59" t="str">
        <x:v>5.1k</x:v>
      </x:c>
      <x:c r="D125" s="59" t="str">
        <x:v>5.1k</x:v>
      </x:c>
      <x:c r="E125" s="59" t="str">
        <x:v>Resistor_SMD:R_0603_1608Metric</x:v>
      </x:c>
      <x:c r="F125" s="60" t="n">
        <x:v>2</x:v>
      </x:c>
      <x:c r="G125" s="59" t="str">
        <x:v>R1, R2</x:v>
      </x:c>
      <x:c r="H125" s="59" t="str">
        <x:v>Allowance</x:v>
      </x:c>
      <x:c r="I125" s="61" t="n">
        <x:f>ROUND(SUMIF('Price Inputs'!$A$5:$A$139,C125,'Price Inputs'!$D$5:$D$139),2)</x:f>
        <x:v>1.2</x:v>
      </x:c>
      <x:c r="J125" s="61" t="n">
        <x:f>ROUND(F125*I125,2)</x:f>
        <x:v>2.4</x:v>
      </x:c>
      <x:c r="K125" s="61" t="n">
        <x:f>ROUND(SUMIF('Price Inputs'!$A$5:$A$139,C125,'Price Inputs'!$E$5:$E$139),2)</x:f>
        <x:v>0.45</x:v>
      </x:c>
      <x:c r="L125" s="61" t="n">
        <x:f>ROUND(F125*K125,2)</x:f>
        <x:v>0.9</x:v>
      </x:c>
      <x:c r="M125" s="59" t="str">
        <x:v>Estimate</x:v>
      </x:c>
    </x:row>
    <x:row r="126" ht="15" hidden="0" customHeight="1">
      <x:c r="A126" s="59" t="str">
        <x:v>Flight Control Rev-B</x:v>
      </x:c>
      <x:c r="B126" s="59" t="str">
        <x:v>Commodity / unspecified</x:v>
      </x:c>
      <x:c r="C126" s="59" t="str">
        <x:v>5.6k</x:v>
      </x:c>
      <x:c r="D126" s="59" t="str">
        <x:v>5.6k</x:v>
      </x:c>
      <x:c r="E126" s="59" t="str">
        <x:v>Resistor_SMD:R_0603_1608Metric</x:v>
      </x:c>
      <x:c r="F126" s="60" t="n">
        <x:v>1</x:v>
      </x:c>
      <x:c r="G126" s="59" t="str">
        <x:v>R31</x:v>
      </x:c>
      <x:c r="H126" s="59" t="str">
        <x:v>Allowance</x:v>
      </x:c>
      <x:c r="I126" s="61" t="n">
        <x:f>ROUND(SUMIF('Price Inputs'!$A$5:$A$139,C126,'Price Inputs'!$D$5:$D$139),2)</x:f>
        <x:v>1.2</x:v>
      </x:c>
      <x:c r="J126" s="61" t="n">
        <x:f>ROUND(F126*I126,2)</x:f>
        <x:v>1.2</x:v>
      </x:c>
      <x:c r="K126" s="61" t="n">
        <x:f>ROUND(SUMIF('Price Inputs'!$A$5:$A$139,C126,'Price Inputs'!$E$5:$E$139),2)</x:f>
        <x:v>0.45</x:v>
      </x:c>
      <x:c r="L126" s="61" t="n">
        <x:f>ROUND(F126*K126,2)</x:f>
        <x:v>0.45</x:v>
      </x:c>
      <x:c r="M126" s="59" t="str">
        <x:v>Estimate</x:v>
      </x:c>
    </x:row>
    <x:row r="127" ht="15" hidden="0" customHeight="1">
      <x:c r="A127" s="59" t="str">
        <x:v>Flight Control Rev-B</x:v>
      </x:c>
      <x:c r="B127" s="59" t="str">
        <x:v>Commodity / unspecified</x:v>
      </x:c>
      <x:c r="C127" s="59" t="str">
        <x:v>56k</x:v>
      </x:c>
      <x:c r="D127" s="59" t="str">
        <x:v>56k</x:v>
      </x:c>
      <x:c r="E127" s="59" t="str">
        <x:v>Resistor_SMD:R_0402_1005Metric</x:v>
      </x:c>
      <x:c r="F127" s="60" t="n">
        <x:v>1</x:v>
      </x:c>
      <x:c r="G127" s="59" t="str">
        <x:v>R40</x:v>
      </x:c>
      <x:c r="H127" s="59" t="str">
        <x:v>Allowance</x:v>
      </x:c>
      <x:c r="I127" s="61" t="n">
        <x:f>ROUND(SUMIF('Price Inputs'!$A$5:$A$139,C127,'Price Inputs'!$D$5:$D$139),2)</x:f>
        <x:v>1.2</x:v>
      </x:c>
      <x:c r="J127" s="61" t="n">
        <x:f>ROUND(F127*I127,2)</x:f>
        <x:v>1.2</x:v>
      </x:c>
      <x:c r="K127" s="61" t="n">
        <x:f>ROUND(SUMIF('Price Inputs'!$A$5:$A$139,C127,'Price Inputs'!$E$5:$E$139),2)</x:f>
        <x:v>0.45</x:v>
      </x:c>
      <x:c r="L127" s="61" t="n">
        <x:f>ROUND(F127*K127,2)</x:f>
        <x:v>0.45</x:v>
      </x:c>
      <x:c r="M127" s="59" t="str">
        <x:v>Estimate</x:v>
      </x:c>
    </x:row>
    <x:row r="128" ht="15" hidden="0" customHeight="1">
      <x:c r="A128" s="59" t="str">
        <x:v>Flight Control Rev-B</x:v>
      </x:c>
      <x:c r="B128" s="59" t="str">
        <x:v>Commodity / unspecified</x:v>
      </x:c>
      <x:c r="C128" s="59" t="str">
        <x:v>600R@100MHz</x:v>
      </x:c>
      <x:c r="D128" s="59" t="str">
        <x:v>600R@100MHz</x:v>
      </x:c>
      <x:c r="E128" s="59" t="str">
        <x:v>Inductor_SMD:L_0603_1608Metric</x:v>
      </x:c>
      <x:c r="F128" s="60" t="n">
        <x:v>1</x:v>
      </x:c>
      <x:c r="G128" s="59" t="str">
        <x:v>FB20</x:v>
      </x:c>
      <x:c r="H128" s="59" t="str">
        <x:v>Allowance</x:v>
      </x:c>
      <x:c r="I128" s="61" t="n">
        <x:f>ROUND(SUMIF('Price Inputs'!$A$5:$A$139,C128,'Price Inputs'!$D$5:$D$139),2)</x:f>
        <x:v>35</x:v>
      </x:c>
      <x:c r="J128" s="61" t="n">
        <x:f>ROUND(F128*I128,2)</x:f>
        <x:v>35</x:v>
      </x:c>
      <x:c r="K128" s="61" t="n">
        <x:f>ROUND(SUMIF('Price Inputs'!$A$5:$A$139,C128,'Price Inputs'!$E$5:$E$139),2)</x:f>
        <x:v>24</x:v>
      </x:c>
      <x:c r="L128" s="61" t="n">
        <x:f>ROUND(F128*K128,2)</x:f>
        <x:v>24</x:v>
      </x:c>
      <x:c r="M128" s="59" t="str">
        <x:v>Estimate</x:v>
      </x:c>
    </x:row>
    <x:row r="129" ht="15" hidden="0" customHeight="1">
      <x:c r="A129" s="59" t="str">
        <x:v>Flight Control Rev-B</x:v>
      </x:c>
      <x:c r="B129" s="59" t="str">
        <x:v>Commodity / unspecified</x:v>
      </x:c>
      <x:c r="C129" s="59" t="str">
        <x:v>7.5p C0G</x:v>
      </x:c>
      <x:c r="D129" s="59" t="str">
        <x:v>7.5p C0G</x:v>
      </x:c>
      <x:c r="E129" s="59" t="str">
        <x:v>Capacitor_SMD:C_0402_1005Metric</x:v>
      </x:c>
      <x:c r="F129" s="60" t="n">
        <x:v>1</x:v>
      </x:c>
      <x:c r="G129" s="59" t="str">
        <x:v>C95</x:v>
      </x:c>
      <x:c r="H129" s="59" t="str">
        <x:v>Allowance</x:v>
      </x:c>
      <x:c r="I129" s="61" t="n">
        <x:f>ROUND(SUMIF('Price Inputs'!$A$5:$A$139,C129,'Price Inputs'!$D$5:$D$139),2)</x:f>
        <x:v>3.5</x:v>
      </x:c>
      <x:c r="J129" s="61" t="n">
        <x:f>ROUND(F129*I129,2)</x:f>
        <x:v>3.5</x:v>
      </x:c>
      <x:c r="K129" s="61" t="n">
        <x:f>ROUND(SUMIF('Price Inputs'!$A$5:$A$139,C129,'Price Inputs'!$E$5:$E$139),2)</x:f>
        <x:v>1.5</x:v>
      </x:c>
      <x:c r="L129" s="61" t="n">
        <x:f>ROUND(F129*K129,2)</x:f>
        <x:v>1.5</x:v>
      </x:c>
      <x:c r="M129" s="59" t="str">
        <x:v>Estimate</x:v>
      </x:c>
    </x:row>
    <x:row r="130" ht="15" hidden="0" customHeight="1">
      <x:c r="A130" s="59" t="str">
        <x:v>Flight Control Rev-B</x:v>
      </x:c>
      <x:c r="B130" s="59" t="str">
        <x:v>Commodity / unspecified</x:v>
      </x:c>
      <x:c r="C130" s="59" t="str">
        <x:v>DNP</x:v>
      </x:c>
      <x:c r="D130" s="59" t="str">
        <x:v>DNP</x:v>
      </x:c>
      <x:c r="E130" s="59" t="str">
        <x:v>Capacitor_SMD:C_0402_1005Metric</x:v>
      </x:c>
      <x:c r="F130" s="60" t="n">
        <x:v>2</x:v>
      </x:c>
      <x:c r="G130" s="59" t="str">
        <x:v>C77, C78</x:v>
      </x:c>
      <x:c r="H130" s="59" t="str">
        <x:v>Allowance</x:v>
      </x:c>
      <x:c r="I130" s="61" t="n">
        <x:f>ROUND(SUMIF('Price Inputs'!$A$5:$A$139,C130,'Price Inputs'!$D$5:$D$139),2)</x:f>
        <x:v>0</x:v>
      </x:c>
      <x:c r="J130" s="61" t="n">
        <x:f>ROUND(F130*I130,2)</x:f>
        <x:v>0</x:v>
      </x:c>
      <x:c r="K130" s="61" t="n">
        <x:f>ROUND(SUMIF('Price Inputs'!$A$5:$A$139,C130,'Price Inputs'!$E$5:$E$139),2)</x:f>
        <x:v>0</x:v>
      </x:c>
      <x:c r="L130" s="61" t="n">
        <x:f>ROUND(F130*K130,2)</x:f>
        <x:v>0</x:v>
      </x:c>
      <x:c r="M130" s="59" t="str">
        <x:v>DNP</x:v>
      </x:c>
    </x:row>
    <x:row r="131" ht="15" hidden="0" customHeight="1">
      <x:c r="A131" s="59" t="str">
        <x:v>Flight Control Rev-B</x:v>
      </x:c>
      <x:c r="B131" s="59" t="str">
        <x:v>Commodity / unspecified</x:v>
      </x:c>
      <x:c r="C131" s="59" t="str">
        <x:v>GREEN</x:v>
      </x:c>
      <x:c r="D131" s="59" t="str">
        <x:v>GREEN</x:v>
      </x:c>
      <x:c r="E131" s="59" t="str">
        <x:v>LED_SMD:LED_0603_1608Metric</x:v>
      </x:c>
      <x:c r="F131" s="60" t="n">
        <x:v>1</x:v>
      </x:c>
      <x:c r="G131" s="59" t="str">
        <x:v>D10</x:v>
      </x:c>
      <x:c r="H131" s="59" t="str">
        <x:v>Allowance</x:v>
      </x:c>
      <x:c r="I131" s="61" t="n">
        <x:f>ROUND(SUMIF('Price Inputs'!$A$5:$A$139,C131,'Price Inputs'!$D$5:$D$139),2)</x:f>
        <x:v>7</x:v>
      </x:c>
      <x:c r="J131" s="61" t="n">
        <x:f>ROUND(F131*I131,2)</x:f>
        <x:v>7</x:v>
      </x:c>
      <x:c r="K131" s="61" t="n">
        <x:f>ROUND(SUMIF('Price Inputs'!$A$5:$A$139,C131,'Price Inputs'!$E$5:$E$139),2)</x:f>
        <x:v>4</x:v>
      </x:c>
      <x:c r="L131" s="61" t="n">
        <x:f>ROUND(F131*K131,2)</x:f>
        <x:v>4</x:v>
      </x:c>
      <x:c r="M131" s="59" t="str">
        <x:v>Estimate</x:v>
      </x:c>
    </x:row>
    <x:row r="132" ht="15" hidden="0" customHeight="1">
      <x:c r="A132" s="59" t="str">
        <x:v>Flight Control Rev-B</x:v>
      </x:c>
      <x:c r="B132" s="59" t="str">
        <x:v>Commodity / unspecified</x:v>
      </x:c>
      <x:c r="C132" s="59" t="str">
        <x:v>SWD</x:v>
      </x:c>
      <x:c r="D132" s="59" t="str">
        <x:v>SWD</x:v>
      </x:c>
      <x:c r="E132" s="59" t="str">
        <x:v>Connector_JST:JST_SH_SM03B-SRSS-TB_1x03-1MP_P1.00mm_Horizontal</x:v>
      </x:c>
      <x:c r="F132" s="60" t="n">
        <x:v>1</x:v>
      </x:c>
      <x:c r="G132" s="59" t="str">
        <x:v>J10</x:v>
      </x:c>
      <x:c r="H132" s="59" t="str">
        <x:v>Allowance</x:v>
      </x:c>
      <x:c r="I132" s="61" t="n">
        <x:f>ROUND(SUMIF('Price Inputs'!$A$5:$A$139,C132,'Price Inputs'!$D$5:$D$139),2)</x:f>
        <x:v>80</x:v>
      </x:c>
      <x:c r="J132" s="61" t="n">
        <x:f>ROUND(F132*I132,2)</x:f>
        <x:v>80</x:v>
      </x:c>
      <x:c r="K132" s="61" t="n">
        <x:f>ROUND(SUMIF('Price Inputs'!$A$5:$A$139,C132,'Price Inputs'!$E$5:$E$139),2)</x:f>
        <x:v>55</x:v>
      </x:c>
      <x:c r="L132" s="61" t="n">
        <x:f>ROUND(F132*K132,2)</x:f>
        <x:v>55</x:v>
      </x:c>
      <x:c r="M132" s="59" t="str">
        <x:v>Estimate</x:v>
      </x:c>
    </x:row>
    <x:row r="133" ht="15" hidden="0" customHeight="1">
      <x:c r="A133" s="59" t="str">
        <x:v>Flight Control Rev-B</x:v>
      </x:c>
      <x:c r="B133" s="59" t="str">
        <x:v>Abracon</x:v>
      </x:c>
      <x:c r="C133" s="59" t="str">
        <x:v>ABM8-272-T3</x:v>
      </x:c>
      <x:c r="D133" s="59" t="str">
        <x:v>12MHz ABM8-272-T3</x:v>
      </x:c>
      <x:c r="E133" s="59" t="str">
        <x:v>Crystal:Crystal_SMD_3225-4Pin_3.2x2.5mm</x:v>
      </x:c>
      <x:c r="F133" s="60" t="n">
        <x:v>1</x:v>
      </x:c>
      <x:c r="G133" s="59" t="str">
        <x:v>Y1</x:v>
      </x:c>
      <x:c r="H133" s="59" t="str">
        <x:v>Allowance</x:v>
      </x:c>
      <x:c r="I133" s="61" t="n">
        <x:f>ROUND(SUMIF('Price Inputs'!$A$5:$A$139,C133,'Price Inputs'!$D$5:$D$139),2)</x:f>
        <x:v>55</x:v>
      </x:c>
      <x:c r="J133" s="61" t="n">
        <x:f>ROUND(F133*I133,2)</x:f>
        <x:v>55</x:v>
      </x:c>
      <x:c r="K133" s="61" t="n">
        <x:f>ROUND(SUMIF('Price Inputs'!$A$5:$A$139,C133,'Price Inputs'!$E$5:$E$139),2)</x:f>
        <x:v>38</x:v>
      </x:c>
      <x:c r="L133" s="61" t="n">
        <x:f>ROUND(F133*K133,2)</x:f>
        <x:v>38</x:v>
      </x:c>
      <x:c r="M133" s="59" t="str">
        <x:v>Estimate</x:v>
      </x:c>
    </x:row>
    <x:row r="134" ht="15" hidden="0" customHeight="1">
      <x:c r="A134" s="59" t="str">
        <x:v>Flight Control Rev-B</x:v>
      </x:c>
      <x:c r="B134" s="59" t="str">
        <x:v>Abracon</x:v>
      </x:c>
      <x:c r="C134" s="59" t="str">
        <x:v>ABM8G-40.000MHZ-10-D2Y-T</x:v>
      </x:c>
      <x:c r="D134" s="59" t="str">
        <x:v>40MHz ABM8G</x:v>
      </x:c>
      <x:c r="E134" s="59" t="str">
        <x:v>Crystal:Crystal_SMD_3225-4Pin_3.2x2.5mm</x:v>
      </x:c>
      <x:c r="F134" s="60" t="n">
        <x:v>1</x:v>
      </x:c>
      <x:c r="G134" s="59" t="str">
        <x:v>Y50</x:v>
      </x:c>
      <x:c r="H134" s="59" t="str">
        <x:v>Allowance</x:v>
      </x:c>
      <x:c r="I134" s="61" t="n">
        <x:f>ROUND(SUMIF('Price Inputs'!$A$5:$A$139,C134,'Price Inputs'!$D$5:$D$139),2)</x:f>
        <x:v>65</x:v>
      </x:c>
      <x:c r="J134" s="61" t="n">
        <x:f>ROUND(F134*I134,2)</x:f>
        <x:v>65</x:v>
      </x:c>
      <x:c r="K134" s="61" t="n">
        <x:f>ROUND(SUMIF('Price Inputs'!$A$5:$A$139,C134,'Price Inputs'!$E$5:$E$139),2)</x:f>
        <x:v>45</x:v>
      </x:c>
      <x:c r="L134" s="61" t="n">
        <x:f>ROUND(F134*K134,2)</x:f>
        <x:v>45</x:v>
      </x:c>
      <x:c r="M134" s="59" t="str">
        <x:v>Estimate</x:v>
      </x:c>
    </x:row>
    <x:row r="135" ht="15" hidden="0" customHeight="1">
      <x:c r="A135" s="59" t="str">
        <x:v>Flight Control Rev-B</x:v>
      </x:c>
      <x:c r="B135" s="59" t="str">
        <x:v>Abracon</x:v>
      </x:c>
      <x:c r="C135" s="59" t="str">
        <x:v>AOTA-B201610S3R3-101-T</x:v>
      </x:c>
      <x:c r="D135" s="59" t="str">
        <x:v>3.3u AOTA-B201610S3R3-101-T</x:v>
      </x:c>
      <x:c r="E135" s="59" t="str">
        <x:v>Inductor_SMD:L_0805_2012Metric</x:v>
      </x:c>
      <x:c r="F135" s="60" t="n">
        <x:v>1</x:v>
      </x:c>
      <x:c r="G135" s="59" t="str">
        <x:v>L1</x:v>
      </x:c>
      <x:c r="H135" s="59" t="str">
        <x:v>Allowance</x:v>
      </x:c>
      <x:c r="I135" s="61" t="n">
        <x:f>ROUND(SUMIF('Price Inputs'!$A$5:$A$139,C135,'Price Inputs'!$D$5:$D$139),2)</x:f>
        <x:v>75</x:v>
      </x:c>
      <x:c r="J135" s="61" t="n">
        <x:f>ROUND(F135*I135,2)</x:f>
        <x:v>75</x:v>
      </x:c>
      <x:c r="K135" s="61" t="n">
        <x:f>ROUND(SUMIF('Price Inputs'!$A$5:$A$139,C135,'Price Inputs'!$E$5:$E$139),2)</x:f>
        <x:v>52</x:v>
      </x:c>
      <x:c r="L135" s="61" t="n">
        <x:f>ROUND(F135*K135,2)</x:f>
        <x:v>52</x:v>
      </x:c>
      <x:c r="M135" s="59" t="str">
        <x:v>Estimate</x:v>
      </x:c>
    </x:row>
    <x:row r="136" ht="15" hidden="0" customHeight="1">
      <x:c r="A136" s="59" t="str">
        <x:v>Flight Control Rev-B</x:v>
      </x:c>
      <x:c r="B136" s="59" t="str">
        <x:v>GCT</x:v>
      </x:c>
      <x:c r="C136" s="59" t="str">
        <x:v>USB4105-GF-A</x:v>
      </x:c>
      <x:c r="D136" s="59" t="str">
        <x:v>USB-C USB2</x:v>
      </x:c>
      <x:c r="E136" s="59" t="str">
        <x:v>Connector_USB:USB_C_Receptacle_GCT_USB4105-xx-A_16P_TopMnt_Horizontal</x:v>
      </x:c>
      <x:c r="F136" s="60" t="n">
        <x:v>1</x:v>
      </x:c>
      <x:c r="G136" s="59" t="str">
        <x:v>J1</x:v>
      </x:c>
      <x:c r="H136" s="59" t="str">
        <x:v>Allowance</x:v>
      </x:c>
      <x:c r="I136" s="61" t="n">
        <x:f>ROUND(SUMIF('Price Inputs'!$A$5:$A$139,C136,'Price Inputs'!$D$5:$D$139),2)</x:f>
        <x:v>95</x:v>
      </x:c>
      <x:c r="J136" s="61" t="n">
        <x:f>ROUND(F136*I136,2)</x:f>
        <x:v>95</x:v>
      </x:c>
      <x:c r="K136" s="61" t="n">
        <x:f>ROUND(SUMIF('Price Inputs'!$A$5:$A$139,C136,'Price Inputs'!$E$5:$E$139),2)</x:f>
        <x:v>65</x:v>
      </x:c>
      <x:c r="L136" s="61" t="n">
        <x:f>ROUND(F136*K136,2)</x:f>
        <x:v>65</x:v>
      </x:c>
      <x:c r="M136" s="59" t="str">
        <x:v>Estimate</x:v>
      </x:c>
    </x:row>
    <x:row r="137" ht="15" hidden="0" customHeight="1">
      <x:c r="A137" s="59" t="str">
        <x:v>Flight Control Rev-B</x:v>
      </x:c>
      <x:c r="B137" s="59" t="str">
        <x:v>Hirose</x:v>
      </x:c>
      <x:c r="C137" s="59" t="str">
        <x:v>U.FL-R-SMT-1(10)</x:v>
      </x:c>
      <x:c r="D137" s="59" t="str">
        <x:v>915MHz_ANT</x:v>
      </x:c>
      <x:c r="E137" s="59" t="str">
        <x:v>Connector_Coaxial:U.FL_Hirose_U.FL-R-SMT-1_Vertical</x:v>
      </x:c>
      <x:c r="F137" s="60" t="n">
        <x:v>1</x:v>
      </x:c>
      <x:c r="G137" s="59" t="str">
        <x:v>J40</x:v>
      </x:c>
      <x:c r="H137" s="59" t="str">
        <x:v>Allowance</x:v>
      </x:c>
      <x:c r="I137" s="61" t="n">
        <x:f>ROUND(SUMIF('Price Inputs'!$A$5:$A$139,C137,'Price Inputs'!$D$5:$D$139),2)</x:f>
        <x:v>145</x:v>
      </x:c>
      <x:c r="J137" s="61" t="n">
        <x:f>ROUND(F137*I137,2)</x:f>
        <x:v>145</x:v>
      </x:c>
      <x:c r="K137" s="61" t="n">
        <x:f>ROUND(SUMIF('Price Inputs'!$A$5:$A$139,C137,'Price Inputs'!$E$5:$E$139),2)</x:f>
        <x:v>105</x:v>
      </x:c>
      <x:c r="L137" s="61" t="n">
        <x:f>ROUND(F137*K137,2)</x:f>
        <x:v>105</x:v>
      </x:c>
      <x:c r="M137" s="59" t="str">
        <x:v>Estimate</x:v>
      </x:c>
    </x:row>
    <x:row r="138" ht="15" hidden="0" customHeight="1">
      <x:c r="A138" s="59" t="str">
        <x:v>Flight Control Rev-B</x:v>
      </x:c>
      <x:c r="B138" s="59" t="str">
        <x:v>Hirose</x:v>
      </x:c>
      <x:c r="C138" s="59" t="str">
        <x:v>U.FL-R-SMT-1(10)</x:v>
      </x:c>
      <x:c r="D138" s="59" t="str">
        <x:v>GNSS_UFL</x:v>
      </x:c>
      <x:c r="E138" s="59" t="str">
        <x:v>Connector_Coaxial:U.FL_Hirose_U.FL-R-SMT-1_Vertical</x:v>
      </x:c>
      <x:c r="F138" s="60" t="n">
        <x:v>1</x:v>
      </x:c>
      <x:c r="G138" s="59" t="str">
        <x:v>J30</x:v>
      </x:c>
      <x:c r="H138" s="59" t="str">
        <x:v>Allowance</x:v>
      </x:c>
      <x:c r="I138" s="61" t="n">
        <x:f>ROUND(SUMIF('Price Inputs'!$A$5:$A$139,C138,'Price Inputs'!$D$5:$D$139),2)</x:f>
        <x:v>145</x:v>
      </x:c>
      <x:c r="J138" s="61" t="n">
        <x:f>ROUND(F138*I138,2)</x:f>
        <x:v>145</x:v>
      </x:c>
      <x:c r="K138" s="61" t="n">
        <x:f>ROUND(SUMIF('Price Inputs'!$A$5:$A$139,C138,'Price Inputs'!$E$5:$E$139),2)</x:f>
        <x:v>105</x:v>
      </x:c>
      <x:c r="L138" s="61" t="n">
        <x:f>ROUND(F138*K138,2)</x:f>
        <x:v>105</x:v>
      </x:c>
      <x:c r="M138" s="59" t="str">
        <x:v>Estimate</x:v>
      </x:c>
    </x:row>
    <x:row r="139" ht="15" hidden="0" customHeight="1">
      <x:c r="A139" s="59" t="str">
        <x:v>Flight Control Rev-B</x:v>
      </x:c>
      <x:c r="B139" s="59" t="str">
        <x:v>JST</x:v>
      </x:c>
      <x:c r="C139" s="59" t="str">
        <x:v>SM04B-GHS-TB</x:v>
      </x:c>
      <x:c r="D139" s="59" t="str">
        <x:v>ESC_CAN_POWER</x:v>
      </x:c>
      <x:c r="E139" s="59" t="str">
        <x:v>Connector_JST:JST_GH_SM04B-GHS-TB_1x04-1MP_P1.25mm_Horizontal</x:v>
      </x:c>
      <x:c r="F139" s="60" t="n">
        <x:v>1</x:v>
      </x:c>
      <x:c r="G139" s="59" t="str">
        <x:v>J2</x:v>
      </x:c>
      <x:c r="H139" s="59" t="str">
        <x:v>Allowance</x:v>
      </x:c>
      <x:c r="I139" s="61" t="n">
        <x:f>ROUND(SUMIF('Price Inputs'!$A$5:$A$139,C139,'Price Inputs'!$D$5:$D$139),2)</x:f>
        <x:v>42</x:v>
      </x:c>
      <x:c r="J139" s="61" t="n">
        <x:f>ROUND(F139*I139,2)</x:f>
        <x:v>42</x:v>
      </x:c>
      <x:c r="K139" s="61" t="n">
        <x:f>ROUND(SUMIF('Price Inputs'!$A$5:$A$139,C139,'Price Inputs'!$E$5:$E$139),2)</x:f>
        <x:v>28</x:v>
      </x:c>
      <x:c r="L139" s="61" t="n">
        <x:f>ROUND(F139*K139,2)</x:f>
        <x:v>28</x:v>
      </x:c>
      <x:c r="M139" s="59" t="str">
        <x:v>Estimate</x:v>
      </x:c>
    </x:row>
    <x:row r="140" ht="15" hidden="0" customHeight="1">
      <x:c r="A140" s="59" t="str">
        <x:v>Flight Control Rev-B</x:v>
      </x:c>
      <x:c r="B140" s="59" t="str">
        <x:v>Littelfuse</x:v>
      </x:c>
      <x:c r="C140" s="59" t="str">
        <x:v>1206L075/24WR</x:v>
      </x:c>
      <x:c r="D140" s="59" t="str">
        <x:v>PTC 0.75A</x:v>
      </x:c>
      <x:c r="E140" s="59" t="str">
        <x:v>Fuse:Fuse_1206_3216Metric</x:v>
      </x:c>
      <x:c r="F140" s="60" t="n">
        <x:v>1</x:v>
      </x:c>
      <x:c r="G140" s="59" t="str">
        <x:v>F1</x:v>
      </x:c>
      <x:c r="H140" s="59" t="str">
        <x:v>Allowance</x:v>
      </x:c>
      <x:c r="I140" s="61" t="n">
        <x:f>ROUND(SUMIF('Price Inputs'!$A$5:$A$139,C140,'Price Inputs'!$D$5:$D$139),2)</x:f>
        <x:v>30</x:v>
      </x:c>
      <x:c r="J140" s="61" t="n">
        <x:f>ROUND(F140*I140,2)</x:f>
        <x:v>30</x:v>
      </x:c>
      <x:c r="K140" s="61" t="n">
        <x:f>ROUND(SUMIF('Price Inputs'!$A$5:$A$139,C140,'Price Inputs'!$E$5:$E$139),2)</x:f>
        <x:v>20</x:v>
      </x:c>
      <x:c r="L140" s="61" t="n">
        <x:f>ROUND(F140*K140,2)</x:f>
        <x:v>20</x:v>
      </x:c>
      <x:c r="M140" s="59" t="str">
        <x:v>Estimate</x:v>
      </x:c>
    </x:row>
    <x:row r="141" ht="15" hidden="0" customHeight="1">
      <x:c r="A141" s="59" t="str">
        <x:v>Flight Control Rev-B</x:v>
      </x:c>
      <x:c r="B141" s="59" t="str">
        <x:v>Microchip</x:v>
      </x:c>
      <x:c r="C141" s="59" t="str">
        <x:v>MCP2518FD-H/QBB</x:v>
      </x:c>
      <x:c r="D141" s="59" t="str">
        <x:v>MCP2518FD-H/QBB</x:v>
      </x:c>
      <x:c r="E141" s="59" t="str">
        <x:v>Package_DFN_QFN:DFN-14-1EP_3x4.5mm_P0.65mm_EP1.65x4.25mm</x:v>
      </x:c>
      <x:c r="F141" s="60" t="n">
        <x:v>1</x:v>
      </x:c>
      <x:c r="G141" s="59" t="str">
        <x:v>U51</x:v>
      </x:c>
      <x:c r="H141" s="59" t="str">
        <x:v>Qty 2 / 20</x:v>
      </x:c>
      <x:c r="I141" s="61" t="n">
        <x:f>ROUND(SUMIF('Price Inputs'!$A$5:$A$139,C141,'Price Inputs'!$D$5:$D$139),2)</x:f>
        <x:v>191.95</x:v>
      </x:c>
      <x:c r="J141" s="61" t="n">
        <x:f>ROUND(F141*I141,2)</x:f>
        <x:v>191.95</x:v>
      </x:c>
      <x:c r="K141" s="61" t="n">
        <x:f>ROUND(SUMIF('Price Inputs'!$A$5:$A$139,C141,'Price Inputs'!$E$5:$E$139),2)</x:f>
        <x:v>191.95</x:v>
      </x:c>
      <x:c r="L141" s="61" t="n">
        <x:f>ROUND(F141*K141,2)</x:f>
        <x:v>191.95</x:v>
      </x:c>
      <x:c r="M141" s="59" t="str">
        <x:v>Live/official</x:v>
      </x:c>
    </x:row>
    <x:row r="142" ht="15" hidden="0" customHeight="1">
      <x:c r="A142" s="59" t="str">
        <x:v>Flight Control Rev-B</x:v>
      </x:c>
      <x:c r="B142" s="59" t="str">
        <x:v>Murata</x:v>
      </x:c>
      <x:c r="C142" s="59" t="str">
        <x:v>BLM15HG102SN1D</x:v>
      </x:c>
      <x:c r="D142" s="59" t="str">
        <x:v>1k@100MHz</x:v>
      </x:c>
      <x:c r="E142" s="59" t="str">
        <x:v>Inductor_SMD:L_0402_1005Metric</x:v>
      </x:c>
      <x:c r="F142" s="60" t="n">
        <x:v>1</x:v>
      </x:c>
      <x:c r="G142" s="59" t="str">
        <x:v>L40</x:v>
      </x:c>
      <x:c r="H142" s="59" t="str">
        <x:v>Allowance</x:v>
      </x:c>
      <x:c r="I142" s="61" t="n">
        <x:f>ROUND(SUMIF('Price Inputs'!$A$5:$A$139,C142,'Price Inputs'!$D$5:$D$139),2)</x:f>
        <x:v>7</x:v>
      </x:c>
      <x:c r="J142" s="61" t="n">
        <x:f>ROUND(F142*I142,2)</x:f>
        <x:v>7</x:v>
      </x:c>
      <x:c r="K142" s="61" t="n">
        <x:f>ROUND(SUMIF('Price Inputs'!$A$5:$A$139,C142,'Price Inputs'!$E$5:$E$139),2)</x:f>
        <x:v>4</x:v>
      </x:c>
      <x:c r="L142" s="61" t="n">
        <x:f>ROUND(F142*K142,2)</x:f>
        <x:v>4</x:v>
      </x:c>
      <x:c r="M142" s="59" t="str">
        <x:v>Estimate</x:v>
      </x:c>
    </x:row>
    <x:row r="143" ht="15" hidden="0" customHeight="1">
      <x:c r="A143" s="59" t="str">
        <x:v>Flight Control Rev-B</x:v>
      </x:c>
      <x:c r="B143" s="59" t="str">
        <x:v>Murata</x:v>
      </x:c>
      <x:c r="C143" s="59" t="str">
        <x:v>BLM18AG601SN1D</x:v>
      </x:c>
      <x:c r="D143" s="59" t="str">
        <x:v>600R@100MHz</x:v>
      </x:c>
      <x:c r="E143" s="59" t="str">
        <x:v>Inductor_SMD:L_0603_1608Metric</x:v>
      </x:c>
      <x:c r="F143" s="60" t="n">
        <x:v>2</x:v>
      </x:c>
      <x:c r="G143" s="59" t="str">
        <x:v>FB1, FB30</x:v>
      </x:c>
      <x:c r="H143" s="59" t="str">
        <x:v>Allowance</x:v>
      </x:c>
      <x:c r="I143" s="61" t="n">
        <x:f>ROUND(SUMIF('Price Inputs'!$A$5:$A$139,C143,'Price Inputs'!$D$5:$D$139),2)</x:f>
        <x:v>6</x:v>
      </x:c>
      <x:c r="J143" s="61" t="n">
        <x:f>ROUND(F143*I143,2)</x:f>
        <x:v>12</x:v>
      </x:c>
      <x:c r="K143" s="61" t="n">
        <x:f>ROUND(SUMIF('Price Inputs'!$A$5:$A$139,C143,'Price Inputs'!$E$5:$E$139),2)</x:f>
        <x:v>3</x:v>
      </x:c>
      <x:c r="L143" s="61" t="n">
        <x:f>ROUND(F143*K143,2)</x:f>
        <x:v>6</x:v>
      </x:c>
      <x:c r="M143" s="59" t="str">
        <x:v>Estimate</x:v>
      </x:c>
    </x:row>
    <x:row r="144" ht="15" hidden="0" customHeight="1">
      <x:c r="A144" s="59" t="str">
        <x:v>Flight Control Rev-B</x:v>
      </x:c>
      <x:c r="B144" s="59" t="str">
        <x:v>Murata</x:v>
      </x:c>
      <x:c r="C144" s="59" t="str">
        <x:v>LFD21868MMF1D386</x:v>
      </x:c>
      <x:c r="D144" s="59" t="str">
        <x:v>LFD21868MMF1D386</x:v>
      </x:c>
      <x:c r="E144" s="59" t="str">
        <x:v>revb:LFD21868MMF1D386</x:v>
      </x:c>
      <x:c r="F144" s="60" t="n">
        <x:v>1</x:v>
      </x:c>
      <x:c r="G144" s="59" t="str">
        <x:v>FL40</x:v>
      </x:c>
      <x:c r="H144" s="59" t="str">
        <x:v>Allowance</x:v>
      </x:c>
      <x:c r="I144" s="61" t="n">
        <x:f>ROUND(SUMIF('Price Inputs'!$A$5:$A$139,C144,'Price Inputs'!$D$5:$D$139),2)</x:f>
        <x:v>85</x:v>
      </x:c>
      <x:c r="J144" s="61" t="n">
        <x:f>ROUND(F144*I144,2)</x:f>
        <x:v>85</x:v>
      </x:c>
      <x:c r="K144" s="61" t="n">
        <x:f>ROUND(SUMIF('Price Inputs'!$A$5:$A$139,C144,'Price Inputs'!$E$5:$E$139),2)</x:f>
        <x:v>62</x:v>
      </x:c>
      <x:c r="L144" s="61" t="n">
        <x:f>ROUND(F144*K144,2)</x:f>
        <x:v>62</x:v>
      </x:c>
      <x:c r="M144" s="59" t="str">
        <x:v>Estimate</x:v>
      </x:c>
    </x:row>
    <x:row r="145" ht="15" hidden="0" customHeight="1">
      <x:c r="A145" s="59" t="str">
        <x:v>Flight Control Rev-B</x:v>
      </x:c>
      <x:c r="B145" s="59" t="str">
        <x:v>Murata</x:v>
      </x:c>
      <x:c r="C145" s="59" t="str">
        <x:v>LQG15HS1N5S02D</x:v>
      </x:c>
      <x:c r="D145" s="59" t="str">
        <x:v>1.5n</x:v>
      </x:c>
      <x:c r="E145" s="59" t="str">
        <x:v>Inductor_SMD:L_0402_1005Metric</x:v>
      </x:c>
      <x:c r="F145" s="60" t="n">
        <x:v>1</x:v>
      </x:c>
      <x:c r="G145" s="59" t="str">
        <x:v>L43</x:v>
      </x:c>
      <x:c r="H145" s="59" t="str">
        <x:v>Allowance</x:v>
      </x:c>
      <x:c r="I145" s="61" t="n">
        <x:f>ROUND(SUMIF('Price Inputs'!$A$5:$A$139,C145,'Price Inputs'!$D$5:$D$139),2)</x:f>
        <x:v>9</x:v>
      </x:c>
      <x:c r="J145" s="61" t="n">
        <x:f>ROUND(F145*I145,2)</x:f>
        <x:v>9</x:v>
      </x:c>
      <x:c r="K145" s="61" t="n">
        <x:f>ROUND(SUMIF('Price Inputs'!$A$5:$A$139,C145,'Price Inputs'!$E$5:$E$139),2)</x:f>
        <x:v>5</x:v>
      </x:c>
      <x:c r="L145" s="61" t="n">
        <x:f>ROUND(F145*K145,2)</x:f>
        <x:v>5</x:v>
      </x:c>
      <x:c r="M145" s="59" t="str">
        <x:v>Estimate</x:v>
      </x:c>
    </x:row>
    <x:row r="146" ht="15" hidden="0" customHeight="1">
      <x:c r="A146" s="59" t="str">
        <x:v>Flight Control Rev-B</x:v>
      </x:c>
      <x:c r="B146" s="59" t="str">
        <x:v>Murata</x:v>
      </x:c>
      <x:c r="C146" s="59" t="str">
        <x:v>LQW15AN10NJ00D</x:v>
      </x:c>
      <x:c r="D146" s="59" t="str">
        <x:v>10n</x:v>
      </x:c>
      <x:c r="E146" s="59" t="str">
        <x:v>Inductor_SMD:L_0402_1005Metric</x:v>
      </x:c>
      <x:c r="F146" s="60" t="n">
        <x:v>2</x:v>
      </x:c>
      <x:c r="G146" s="59" t="str">
        <x:v>L42, L45</x:v>
      </x:c>
      <x:c r="H146" s="59" t="str">
        <x:v>Allowance</x:v>
      </x:c>
      <x:c r="I146" s="61" t="n">
        <x:f>ROUND(SUMIF('Price Inputs'!$A$5:$A$139,C146,'Price Inputs'!$D$5:$D$139),2)</x:f>
        <x:v>12</x:v>
      </x:c>
      <x:c r="J146" s="61" t="n">
        <x:f>ROUND(F146*I146,2)</x:f>
        <x:v>24</x:v>
      </x:c>
      <x:c r="K146" s="61" t="n">
        <x:f>ROUND(SUMIF('Price Inputs'!$A$5:$A$139,C146,'Price Inputs'!$E$5:$E$139),2)</x:f>
        <x:v>7</x:v>
      </x:c>
      <x:c r="L146" s="61" t="n">
        <x:f>ROUND(F146*K146,2)</x:f>
        <x:v>14</x:v>
      </x:c>
      <x:c r="M146" s="59" t="str">
        <x:v>Estimate</x:v>
      </x:c>
    </x:row>
    <x:row r="147" ht="15" hidden="0" customHeight="1">
      <x:c r="A147" s="59" t="str">
        <x:v>Flight Control Rev-B</x:v>
      </x:c>
      <x:c r="B147" s="59" t="str">
        <x:v>Murata</x:v>
      </x:c>
      <x:c r="C147" s="59" t="str">
        <x:v>LQW15AN15NJ00D</x:v>
      </x:c>
      <x:c r="D147" s="59" t="str">
        <x:v>15n</x:v>
      </x:c>
      <x:c r="E147" s="59" t="str">
        <x:v>Inductor_SMD:L_0402_1005Metric</x:v>
      </x:c>
      <x:c r="F147" s="60" t="n">
        <x:v>1</x:v>
      </x:c>
      <x:c r="G147" s="59" t="str">
        <x:v>L44</x:v>
      </x:c>
      <x:c r="H147" s="59" t="str">
        <x:v>Allowance</x:v>
      </x:c>
      <x:c r="I147" s="61" t="n">
        <x:f>ROUND(SUMIF('Price Inputs'!$A$5:$A$139,C147,'Price Inputs'!$D$5:$D$139),2)</x:f>
        <x:v>12</x:v>
      </x:c>
      <x:c r="J147" s="61" t="n">
        <x:f>ROUND(F147*I147,2)</x:f>
        <x:v>12</x:v>
      </x:c>
      <x:c r="K147" s="61" t="n">
        <x:f>ROUND(SUMIF('Price Inputs'!$A$5:$A$139,C147,'Price Inputs'!$E$5:$E$139),2)</x:f>
        <x:v>7</x:v>
      </x:c>
      <x:c r="L147" s="61" t="n">
        <x:f>ROUND(F147*K147,2)</x:f>
        <x:v>7</x:v>
      </x:c>
      <x:c r="M147" s="59" t="str">
        <x:v>Estimate</x:v>
      </x:c>
    </x:row>
    <x:row r="148" ht="15" hidden="0" customHeight="1">
      <x:c r="A148" s="59" t="str">
        <x:v>Flight Control Rev-B</x:v>
      </x:c>
      <x:c r="B148" s="59" t="str">
        <x:v>Murata</x:v>
      </x:c>
      <x:c r="C148" s="59" t="str">
        <x:v>LQW15AN2N9C00D</x:v>
      </x:c>
      <x:c r="D148" s="59" t="str">
        <x:v>2.9n</x:v>
      </x:c>
      <x:c r="E148" s="59" t="str">
        <x:v>Inductor_SMD:L_0402_1005Metric</x:v>
      </x:c>
      <x:c r="F148" s="60" t="n">
        <x:v>1</x:v>
      </x:c>
      <x:c r="G148" s="59" t="str">
        <x:v>L48</x:v>
      </x:c>
      <x:c r="H148" s="59" t="str">
        <x:v>Allowance</x:v>
      </x:c>
      <x:c r="I148" s="61" t="n">
        <x:f>ROUND(SUMIF('Price Inputs'!$A$5:$A$139,C148,'Price Inputs'!$D$5:$D$139),2)</x:f>
        <x:v>12</x:v>
      </x:c>
      <x:c r="J148" s="61" t="n">
        <x:f>ROUND(F148*I148,2)</x:f>
        <x:v>12</x:v>
      </x:c>
      <x:c r="K148" s="61" t="n">
        <x:f>ROUND(SUMIF('Price Inputs'!$A$5:$A$139,C148,'Price Inputs'!$E$5:$E$139),2)</x:f>
        <x:v>7</x:v>
      </x:c>
      <x:c r="L148" s="61" t="n">
        <x:f>ROUND(F148*K148,2)</x:f>
        <x:v>7</x:v>
      </x:c>
      <x:c r="M148" s="59" t="str">
        <x:v>Estimate</x:v>
      </x:c>
    </x:row>
    <x:row r="149" ht="15" hidden="0" customHeight="1">
      <x:c r="A149" s="59" t="str">
        <x:v>Flight Control Rev-B</x:v>
      </x:c>
      <x:c r="B149" s="59" t="str">
        <x:v>Murata</x:v>
      </x:c>
      <x:c r="C149" s="59" t="str">
        <x:v>LQW15AN7N5G00D</x:v>
      </x:c>
      <x:c r="D149" s="59" t="str">
        <x:v>7.5n</x:v>
      </x:c>
      <x:c r="E149" s="59" t="str">
        <x:v>Inductor_SMD:L_0402_1005Metric</x:v>
      </x:c>
      <x:c r="F149" s="60" t="n">
        <x:v>1</x:v>
      </x:c>
      <x:c r="G149" s="59" t="str">
        <x:v>L47</x:v>
      </x:c>
      <x:c r="H149" s="59" t="str">
        <x:v>Allowance</x:v>
      </x:c>
      <x:c r="I149" s="61" t="n">
        <x:f>ROUND(SUMIF('Price Inputs'!$A$5:$A$139,C149,'Price Inputs'!$D$5:$D$139),2)</x:f>
        <x:v>12</x:v>
      </x:c>
      <x:c r="J149" s="61" t="n">
        <x:f>ROUND(F149*I149,2)</x:f>
        <x:v>12</x:v>
      </x:c>
      <x:c r="K149" s="61" t="n">
        <x:f>ROUND(SUMIF('Price Inputs'!$A$5:$A$139,C149,'Price Inputs'!$E$5:$E$139),2)</x:f>
        <x:v>7</x:v>
      </x:c>
      <x:c r="L149" s="61" t="n">
        <x:f>ROUND(F149*K149,2)</x:f>
        <x:v>7</x:v>
      </x:c>
      <x:c r="M149" s="59" t="str">
        <x:v>Estimate</x:v>
      </x:c>
    </x:row>
    <x:row r="150" ht="15" hidden="0" customHeight="1">
      <x:c r="A150" s="59" t="str">
        <x:v>Flight Control Rev-B</x:v>
      </x:c>
      <x:c r="B150" s="59" t="str">
        <x:v>Murata</x:v>
      </x:c>
      <x:c r="C150" s="59" t="str">
        <x:v>LQW15AN8N2G00D</x:v>
      </x:c>
      <x:c r="D150" s="59" t="str">
        <x:v>8.2n</x:v>
      </x:c>
      <x:c r="E150" s="59" t="str">
        <x:v>Inductor_SMD:L_0402_1005Metric</x:v>
      </x:c>
      <x:c r="F150" s="60" t="n">
        <x:v>1</x:v>
      </x:c>
      <x:c r="G150" s="59" t="str">
        <x:v>L41</x:v>
      </x:c>
      <x:c r="H150" s="59" t="str">
        <x:v>Allowance</x:v>
      </x:c>
      <x:c r="I150" s="61" t="n">
        <x:f>ROUND(SUMIF('Price Inputs'!$A$5:$A$139,C150,'Price Inputs'!$D$5:$D$139),2)</x:f>
        <x:v>12</x:v>
      </x:c>
      <x:c r="J150" s="61" t="n">
        <x:f>ROUND(F150*I150,2)</x:f>
        <x:v>12</x:v>
      </x:c>
      <x:c r="K150" s="61" t="n">
        <x:f>ROUND(SUMIF('Price Inputs'!$A$5:$A$139,C150,'Price Inputs'!$E$5:$E$139),2)</x:f>
        <x:v>7</x:v>
      </x:c>
      <x:c r="L150" s="61" t="n">
        <x:f>ROUND(F150*K150,2)</x:f>
        <x:v>7</x:v>
      </x:c>
      <x:c r="M150" s="59" t="str">
        <x:v>Estimate</x:v>
      </x:c>
    </x:row>
    <x:row r="151" ht="15" hidden="0" customHeight="1">
      <x:c r="A151" s="59" t="str">
        <x:v>Flight Control Rev-B</x:v>
      </x:c>
      <x:c r="B151" s="59" t="str">
        <x:v>Murata</x:v>
      </x:c>
      <x:c r="C151" s="59" t="str">
        <x:v>LQW15AN9N1G00D</x:v>
      </x:c>
      <x:c r="D151" s="59" t="str">
        <x:v>9.1n</x:v>
      </x:c>
      <x:c r="E151" s="59" t="str">
        <x:v>Inductor_SMD:L_0402_1005Metric</x:v>
      </x:c>
      <x:c r="F151" s="60" t="n">
        <x:v>1</x:v>
      </x:c>
      <x:c r="G151" s="59" t="str">
        <x:v>L49</x:v>
      </x:c>
      <x:c r="H151" s="59" t="str">
        <x:v>Allowance</x:v>
      </x:c>
      <x:c r="I151" s="61" t="n">
        <x:f>ROUND(SUMIF('Price Inputs'!$A$5:$A$139,C151,'Price Inputs'!$D$5:$D$139),2)</x:f>
        <x:v>12</x:v>
      </x:c>
      <x:c r="J151" s="61" t="n">
        <x:f>ROUND(F151*I151,2)</x:f>
        <x:v>12</x:v>
      </x:c>
      <x:c r="K151" s="61" t="n">
        <x:f>ROUND(SUMIF('Price Inputs'!$A$5:$A$139,C151,'Price Inputs'!$E$5:$E$139),2)</x:f>
        <x:v>7</x:v>
      </x:c>
      <x:c r="L151" s="61" t="n">
        <x:f>ROUND(F151*K151,2)</x:f>
        <x:v>7</x:v>
      </x:c>
      <x:c r="M151" s="59" t="str">
        <x:v>Estimate</x:v>
      </x:c>
    </x:row>
    <x:row r="152" ht="15" hidden="0" customHeight="1">
      <x:c r="A152" s="59" t="str">
        <x:v>Flight Control Rev-B</x:v>
      </x:c>
      <x:c r="B152" s="59" t="str">
        <x:v>Murata</x:v>
      </x:c>
      <x:c r="C152" s="59" t="str">
        <x:v>LQW18AN22NJ10D</x:v>
      </x:c>
      <x:c r="D152" s="59" t="str">
        <x:v>22n</x:v>
      </x:c>
      <x:c r="E152" s="59" t="str">
        <x:v>Inductor_SMD:L_0603_1608Metric</x:v>
      </x:c>
      <x:c r="F152" s="60" t="n">
        <x:v>1</x:v>
      </x:c>
      <x:c r="G152" s="59" t="str">
        <x:v>L46</x:v>
      </x:c>
      <x:c r="H152" s="59" t="str">
        <x:v>Allowance</x:v>
      </x:c>
      <x:c r="I152" s="61" t="n">
        <x:f>ROUND(SUMIF('Price Inputs'!$A$5:$A$139,C152,'Price Inputs'!$D$5:$D$139),2)</x:f>
        <x:v>14</x:v>
      </x:c>
      <x:c r="J152" s="61" t="n">
        <x:f>ROUND(F152*I152,2)</x:f>
        <x:v>14</x:v>
      </x:c>
      <x:c r="K152" s="61" t="n">
        <x:f>ROUND(SUMIF('Price Inputs'!$A$5:$A$139,C152,'Price Inputs'!$E$5:$E$139),2)</x:f>
        <x:v>8</x:v>
      </x:c>
      <x:c r="L152" s="61" t="n">
        <x:f>ROUND(F152*K152,2)</x:f>
        <x:v>8</x:v>
      </x:c>
      <x:c r="M152" s="59" t="str">
        <x:v>Estimate</x:v>
      </x:c>
    </x:row>
    <x:row r="153" ht="15" hidden="0" customHeight="1">
      <x:c r="A153" s="59" t="str">
        <x:v>Flight Control Rev-B</x:v>
      </x:c>
      <x:c r="B153" s="59" t="str">
        <x:v>NDK</x:v>
      </x:c>
      <x:c r="C153" s="59" t="str">
        <x:v>NT2016SA-32M-TEE3017A</x:v>
      </x:c>
      <x:c r="D153" s="59" t="str">
        <x:v>32MHz NT2016SA-32M-TEE3017A</x:v>
      </x:c>
      <x:c r="E153" s="59" t="str">
        <x:v>Oscillator:Oscillator_SMD_SiT_PQFN-4Pin_2.0x1.6mm</x:v>
      </x:c>
      <x:c r="F153" s="60" t="n">
        <x:v>1</x:v>
      </x:c>
      <x:c r="G153" s="59" t="str">
        <x:v>Y40</x:v>
      </x:c>
      <x:c r="H153" s="59" t="str">
        <x:v>Allowance</x:v>
      </x:c>
      <x:c r="I153" s="61" t="n">
        <x:f>ROUND(SUMIF('Price Inputs'!$A$5:$A$139,C153,'Price Inputs'!$D$5:$D$139),2)</x:f>
        <x:v>125</x:v>
      </x:c>
      <x:c r="J153" s="61" t="n">
        <x:f>ROUND(F153*I153,2)</x:f>
        <x:v>125</x:v>
      </x:c>
      <x:c r="K153" s="61" t="n">
        <x:f>ROUND(SUMIF('Price Inputs'!$A$5:$A$139,C153,'Price Inputs'!$E$5:$E$139),2)</x:f>
        <x:v>92</x:v>
      </x:c>
      <x:c r="L153" s="61" t="n">
        <x:f>ROUND(F153*K153,2)</x:f>
        <x:v>92</x:v>
      </x:c>
      <x:c r="M153" s="59" t="str">
        <x:v>Estimate</x:v>
      </x:c>
    </x:row>
    <x:row r="154" ht="15" hidden="0" customHeight="1">
      <x:c r="A154" s="59" t="str">
        <x:v>Flight Control Rev-B</x:v>
      </x:c>
      <x:c r="B154" s="59" t="str">
        <x:v>Nexperia</x:v>
      </x:c>
      <x:c r="C154" s="59" t="str">
        <x:v>2N7002P</x:v>
      </x:c>
      <x:c r="D154" s="59" t="str">
        <x:v>2N7002</x:v>
      </x:c>
      <x:c r="E154" s="59" t="str">
        <x:v>Package_TO_SOT_SMD:SOT-23</x:v>
      </x:c>
      <x:c r="F154" s="60" t="n">
        <x:v>1</x:v>
      </x:c>
      <x:c r="G154" s="59" t="str">
        <x:v>Q30</x:v>
      </x:c>
      <x:c r="H154" s="59" t="str">
        <x:v>Allowance</x:v>
      </x:c>
      <x:c r="I154" s="61" t="n">
        <x:f>ROUND(SUMIF('Price Inputs'!$A$5:$A$139,C154,'Price Inputs'!$D$5:$D$139),2)</x:f>
        <x:v>9</x:v>
      </x:c>
      <x:c r="J154" s="61" t="n">
        <x:f>ROUND(F154*I154,2)</x:f>
        <x:v>9</x:v>
      </x:c>
      <x:c r="K154" s="61" t="n">
        <x:f>ROUND(SUMIF('Price Inputs'!$A$5:$A$139,C154,'Price Inputs'!$E$5:$E$139),2)</x:f>
        <x:v>5</x:v>
      </x:c>
      <x:c r="L154" s="61" t="n">
        <x:f>ROUND(F154*K154,2)</x:f>
        <x:v>5</x:v>
      </x:c>
      <x:c r="M154" s="59" t="str">
        <x:v>Estimate</x:v>
      </x:c>
    </x:row>
    <x:row r="155" ht="15" hidden="0" customHeight="1">
      <x:c r="A155" s="59" t="str">
        <x:v>Flight Control Rev-B</x:v>
      </x:c>
      <x:c r="B155" s="59" t="str">
        <x:v>Nexperia</x:v>
      </x:c>
      <x:c r="C155" s="59" t="str">
        <x:v>PESD2CANFD24L-T</x:v>
      </x:c>
      <x:c r="D155" s="59" t="str">
        <x:v>PESD2CANFD24L-T</x:v>
      </x:c>
      <x:c r="E155" s="59" t="str">
        <x:v>Package_TO_SOT_SMD:SOT-23</x:v>
      </x:c>
      <x:c r="F155" s="60" t="n">
        <x:v>1</x:v>
      </x:c>
      <x:c r="G155" s="59" t="str">
        <x:v>D50</x:v>
      </x:c>
      <x:c r="H155" s="59" t="str">
        <x:v>Allowance</x:v>
      </x:c>
      <x:c r="I155" s="61" t="n">
        <x:f>ROUND(SUMIF('Price Inputs'!$A$5:$A$139,C155,'Price Inputs'!$D$5:$D$139),2)</x:f>
        <x:v>48</x:v>
      </x:c>
      <x:c r="J155" s="61" t="n">
        <x:f>ROUND(F155*I155,2)</x:f>
        <x:v>48</x:v>
      </x:c>
      <x:c r="K155" s="61" t="n">
        <x:f>ROUND(SUMIF('Price Inputs'!$A$5:$A$139,C155,'Price Inputs'!$E$5:$E$139),2)</x:f>
        <x:v>32</x:v>
      </x:c>
      <x:c r="L155" s="61" t="n">
        <x:f>ROUND(F155*K155,2)</x:f>
        <x:v>32</x:v>
      </x:c>
      <x:c r="M155" s="59" t="str">
        <x:v>Estimate</x:v>
      </x:c>
    </x:row>
    <x:row r="156" ht="15" hidden="0" customHeight="1">
      <x:c r="A156" s="59" t="str">
        <x:v>Flight Control Rev-B</x:v>
      </x:c>
      <x:c r="B156" s="59" t="str">
        <x:v>Nexperia</x:v>
      </x:c>
      <x:c r="C156" s="59" t="str">
        <x:v>PMEG2010ER</x:v>
      </x:c>
      <x:c r="D156" s="59" t="str">
        <x:v>PMEG2010ER</x:v>
      </x:c>
      <x:c r="E156" s="59" t="str">
        <x:v>Diode_SMD:D_SOD-123</x:v>
      </x:c>
      <x:c r="F156" s="60" t="n">
        <x:v>2</x:v>
      </x:c>
      <x:c r="G156" s="59" t="str">
        <x:v>D1, D2</x:v>
      </x:c>
      <x:c r="H156" s="59" t="str">
        <x:v>Allowance</x:v>
      </x:c>
      <x:c r="I156" s="61" t="n">
        <x:f>ROUND(SUMIF('Price Inputs'!$A$5:$A$139,C156,'Price Inputs'!$D$5:$D$139),2)</x:f>
        <x:v>16</x:v>
      </x:c>
      <x:c r="J156" s="61" t="n">
        <x:f>ROUND(F156*I156,2)</x:f>
        <x:v>32</x:v>
      </x:c>
      <x:c r="K156" s="61" t="n">
        <x:f>ROUND(SUMIF('Price Inputs'!$A$5:$A$139,C156,'Price Inputs'!$E$5:$E$139),2)</x:f>
        <x:v>9</x:v>
      </x:c>
      <x:c r="L156" s="61" t="n">
        <x:f>ROUND(F156*K156,2)</x:f>
        <x:v>18</x:v>
      </x:c>
      <x:c r="M156" s="59" t="str">
        <x:v>Estimate</x:v>
      </x:c>
    </x:row>
    <x:row r="157" ht="15" hidden="0" customHeight="1">
      <x:c r="A157" s="59" t="str">
        <x:v>Flight Control Rev-B</x:v>
      </x:c>
      <x:c r="B157" s="59" t="str">
        <x:v>Quectel</x:v>
      </x:c>
      <x:c r="C157" s="59" t="str">
        <x:v>LG77LICMD</x:v>
      </x:c>
      <x:c r="D157" s="59" t="str">
        <x:v>LG77LICMD</x:v>
      </x:c>
      <x:c r="E157" s="59" t="str">
        <x:v>revb:LG77L_LGA43</x:v>
      </x:c>
      <x:c r="F157" s="60" t="n">
        <x:v>1</x:v>
      </x:c>
      <x:c r="G157" s="59" t="str">
        <x:v>U30</x:v>
      </x:c>
      <x:c r="H157" s="59" t="str">
        <x:v>Qty 1 / 10</x:v>
      </x:c>
      <x:c r="I157" s="61" t="n">
        <x:f>ROUND(SUMIF('Price Inputs'!$A$5:$A$139,C157,'Price Inputs'!$D$5:$D$139),2)</x:f>
        <x:v>858.87</x:v>
      </x:c>
      <x:c r="J157" s="61" t="n">
        <x:f>ROUND(F157*I157,2)</x:f>
        <x:v>858.87</x:v>
      </x:c>
      <x:c r="K157" s="61" t="n">
        <x:f>ROUND(SUMIF('Price Inputs'!$A$5:$A$139,C157,'Price Inputs'!$E$5:$E$139),2)</x:f>
        <x:v>745.67</x:v>
      </x:c>
      <x:c r="L157" s="61" t="n">
        <x:f>ROUND(F157*K157,2)</x:f>
        <x:v>745.67</x:v>
      </x:c>
      <x:c r="M157" s="59" t="str">
        <x:v>Live/official</x:v>
      </x:c>
    </x:row>
    <x:row r="158" ht="15" hidden="0" customHeight="1">
      <x:c r="A158" s="59" t="str">
        <x:v>Flight Control Rev-B</x:v>
      </x:c>
      <x:c r="B158" s="59" t="str">
        <x:v>Raspberry Pi</x:v>
      </x:c>
      <x:c r="C158" s="59" t="str">
        <x:v>RP2354B</x:v>
      </x:c>
      <x:c r="D158" s="59" t="str">
        <x:v>RP2354B</x:v>
      </x:c>
      <x:c r="E158" s="59" t="str">
        <x:v>Package_DFN_QFN:QFN-80-1EP_10x10mm_P0.4mm_EP3.4x3.4mm</x:v>
      </x:c>
      <x:c r="F158" s="60" t="n">
        <x:v>1</x:v>
      </x:c>
      <x:c r="G158" s="59" t="str">
        <x:v>U10</x:v>
      </x:c>
      <x:c r="H158" s="59" t="str">
        <x:v>Qty 2 / 20</x:v>
      </x:c>
      <x:c r="I158" s="61" t="n">
        <x:f>ROUND(SUMIF('Price Inputs'!$A$5:$A$139,C158,'Price Inputs'!$D$5:$D$139),2)</x:f>
        <x:v>134.95</x:v>
      </x:c>
      <x:c r="J158" s="61" t="n">
        <x:f>ROUND(F158*I158,2)</x:f>
        <x:v>134.95</x:v>
      </x:c>
      <x:c r="K158" s="61" t="n">
        <x:f>ROUND(SUMIF('Price Inputs'!$A$5:$A$139,C158,'Price Inputs'!$E$5:$E$139),2)</x:f>
        <x:v>134.95</x:v>
      </x:c>
      <x:c r="L158" s="61" t="n">
        <x:f>ROUND(F158*K158,2)</x:f>
        <x:v>134.95</x:v>
      </x:c>
      <x:c r="M158" s="59" t="str">
        <x:v>Live/official</x:v>
      </x:c>
    </x:row>
    <x:row r="159" ht="15" hidden="0" customHeight="1">
      <x:c r="A159" s="59" t="str">
        <x:v>Flight Control Rev-B</x:v>
      </x:c>
      <x:c r="B159" s="59" t="str">
        <x:v>STMicroelectronics</x:v>
      </x:c>
      <x:c r="C159" s="59" t="str">
        <x:v>LPS22DFTR</x:v>
      </x:c>
      <x:c r="D159" s="59" t="str">
        <x:v>LPS22DFTR</x:v>
      </x:c>
      <x:c r="E159" s="59" t="str">
        <x:v>Package_LGA:ST_HLGA-10_2x2mm_P0.5mm_LayoutBorder3x2y</x:v>
      </x:c>
      <x:c r="F159" s="60" t="n">
        <x:v>1</x:v>
      </x:c>
      <x:c r="G159" s="59" t="str">
        <x:v>U22</x:v>
      </x:c>
      <x:c r="H159" s="59" t="str">
        <x:v>Qty 1 / 10</x:v>
      </x:c>
      <x:c r="I159" s="61" t="n">
        <x:f>ROUND(SUMIF('Price Inputs'!$A$5:$A$139,C159,'Price Inputs'!$D$5:$D$139),2)</x:f>
        <x:v>290.72</x:v>
      </x:c>
      <x:c r="J159" s="61" t="n">
        <x:f>ROUND(F159*I159,2)</x:f>
        <x:v>290.72</x:v>
      </x:c>
      <x:c r="K159" s="61" t="n">
        <x:f>ROUND(SUMIF('Price Inputs'!$A$5:$A$139,C159,'Price Inputs'!$E$5:$E$139),2)</x:f>
        <x:v>233.88</x:v>
      </x:c>
      <x:c r="L159" s="61" t="n">
        <x:f>ROUND(F159*K159,2)</x:f>
        <x:v>233.88</x:v>
      </x:c>
      <x:c r="M159" s="59" t="str">
        <x:v>Live/official</x:v>
      </x:c>
    </x:row>
    <x:row r="160" ht="15" hidden="0" customHeight="1">
      <x:c r="A160" s="59" t="str">
        <x:v>Flight Control Rev-B</x:v>
      </x:c>
      <x:c r="B160" s="59" t="str">
        <x:v>STMicroelectronics</x:v>
      </x:c>
      <x:c r="C160" s="59" t="str">
        <x:v>LSM6DSO32TR</x:v>
      </x:c>
      <x:c r="D160" s="59" t="str">
        <x:v>LSM6DSO32TR</x:v>
      </x:c>
      <x:c r="E160" s="59" t="str">
        <x:v>revb:LSM6DSO32_LGA14</x:v>
      </x:c>
      <x:c r="F160" s="60" t="n">
        <x:v>1</x:v>
      </x:c>
      <x:c r="G160" s="59" t="str">
        <x:v>U21</x:v>
      </x:c>
      <x:c r="H160" s="59" t="str">
        <x:v>Qty 1 / 10</x:v>
      </x:c>
      <x:c r="I160" s="61" t="n">
        <x:f>ROUND(SUMIF('Price Inputs'!$A$5:$A$139,C160,'Price Inputs'!$D$5:$D$139),2)</x:f>
        <x:v>386.7</x:v>
      </x:c>
      <x:c r="J160" s="61" t="n">
        <x:f>ROUND(F160*I160,2)</x:f>
        <x:v>386.7</x:v>
      </x:c>
      <x:c r="K160" s="61" t="n">
        <x:f>ROUND(SUMIF('Price Inputs'!$A$5:$A$139,C160,'Price Inputs'!$E$5:$E$139),2)</x:f>
        <x:v>331.72</x:v>
      </x:c>
      <x:c r="L160" s="61" t="n">
        <x:f>ROUND(F160*K160,2)</x:f>
        <x:v>331.72</x:v>
      </x:c>
      <x:c r="M160" s="59" t="str">
        <x:v>Live/official</x:v>
      </x:c>
    </x:row>
    <x:row r="161" ht="15" hidden="0" customHeight="1">
      <x:c r="A161" s="59" t="str">
        <x:v>Flight Control Rev-B</x:v>
      </x:c>
      <x:c r="B161" s="59" t="str">
        <x:v>STMicroelectronics</x:v>
      </x:c>
      <x:c r="C161" s="59" t="str">
        <x:v>USBLC6-2SC6</x:v>
      </x:c>
      <x:c r="D161" s="59" t="str">
        <x:v>USBLC6-2SC6</x:v>
      </x:c>
      <x:c r="E161" s="59" t="str">
        <x:v>Package_TO_SOT_SMD:SOT-23-6</x:v>
      </x:c>
      <x:c r="F161" s="60" t="n">
        <x:v>1</x:v>
      </x:c>
      <x:c r="G161" s="59" t="str">
        <x:v>U1</x:v>
      </x:c>
      <x:c r="H161" s="59" t="str">
        <x:v>Allowance</x:v>
      </x:c>
      <x:c r="I161" s="61" t="n">
        <x:f>ROUND(SUMIF('Price Inputs'!$A$5:$A$139,C161,'Price Inputs'!$D$5:$D$139),2)</x:f>
        <x:v>45</x:v>
      </x:c>
      <x:c r="J161" s="61" t="n">
        <x:f>ROUND(F161*I161,2)</x:f>
        <x:v>45</x:v>
      </x:c>
      <x:c r="K161" s="61" t="n">
        <x:f>ROUND(SUMIF('Price Inputs'!$A$5:$A$139,C161,'Price Inputs'!$E$5:$E$139),2)</x:f>
        <x:v>28</x:v>
      </x:c>
      <x:c r="L161" s="61" t="n">
        <x:f>ROUND(F161*K161,2)</x:f>
        <x:v>28</x:v>
      </x:c>
      <x:c r="M161" s="59" t="str">
        <x:v>Estimate</x:v>
      </x:c>
    </x:row>
    <x:row r="162" ht="15" hidden="0" customHeight="1">
      <x:c r="A162" s="59" t="str">
        <x:v>Flight Control Rev-B</x:v>
      </x:c>
      <x:c r="B162" s="59" t="str">
        <x:v>TDK</x:v>
      </x:c>
      <x:c r="C162" s="59" t="str">
        <x:v>ACT45B-110-2P-TL003</x:v>
      </x:c>
      <x:c r="D162" s="59" t="str">
        <x:v>ACT45B-110-2P-TL003</x:v>
      </x:c>
      <x:c r="E162" s="59" t="str">
        <x:v>Inductor_SMD:L_CommonModeChoke_Coilank_ACM4532</x:v>
      </x:c>
      <x:c r="F162" s="60" t="n">
        <x:v>1</x:v>
      </x:c>
      <x:c r="G162" s="59" t="str">
        <x:v>FL50</x:v>
      </x:c>
      <x:c r="H162" s="59" t="str">
        <x:v>Allowance</x:v>
      </x:c>
      <x:c r="I162" s="61" t="n">
        <x:f>ROUND(SUMIF('Price Inputs'!$A$5:$A$139,C162,'Price Inputs'!$D$5:$D$139),2)</x:f>
        <x:v>90</x:v>
      </x:c>
      <x:c r="J162" s="61" t="n">
        <x:f>ROUND(F162*I162,2)</x:f>
        <x:v>90</x:v>
      </x:c>
      <x:c r="K162" s="61" t="n">
        <x:f>ROUND(SUMIF('Price Inputs'!$A$5:$A$139,C162,'Price Inputs'!$E$5:$E$139),2)</x:f>
        <x:v>65</x:v>
      </x:c>
      <x:c r="L162" s="61" t="n">
        <x:f>ROUND(F162*K162,2)</x:f>
        <x:v>65</x:v>
      </x:c>
      <x:c r="M162" s="59" t="str">
        <x:v>Estimate</x:v>
      </x:c>
    </x:row>
    <x:row r="163" ht="15" hidden="0" customHeight="1">
      <x:c r="A163" s="59" t="str">
        <x:v>Flight Control Rev-B</x:v>
      </x:c>
      <x:c r="B163" s="59" t="str">
        <x:v>TDK EPCOS</x:v>
      </x:c>
      <x:c r="C163" s="59" t="str">
        <x:v>B39921B3588U410</x:v>
      </x:c>
      <x:c r="D163" s="59" t="str">
        <x:v>B39921B3588U410</x:v>
      </x:c>
      <x:c r="E163" s="59" t="str">
        <x:v>revb:RF_Filter_4Port</x:v>
      </x:c>
      <x:c r="F163" s="60" t="n">
        <x:v>1</x:v>
      </x:c>
      <x:c r="G163" s="59" t="str">
        <x:v>FL41</x:v>
      </x:c>
      <x:c r="H163" s="59" t="str">
        <x:v>Allowance</x:v>
      </x:c>
      <x:c r="I163" s="61" t="n">
        <x:f>ROUND(SUMIF('Price Inputs'!$A$5:$A$139,C163,'Price Inputs'!$D$5:$D$139),2)</x:f>
        <x:v>95</x:v>
      </x:c>
      <x:c r="J163" s="61" t="n">
        <x:f>ROUND(F163*I163,2)</x:f>
        <x:v>95</x:v>
      </x:c>
      <x:c r="K163" s="61" t="n">
        <x:f>ROUND(SUMIF('Price Inputs'!$A$5:$A$139,C163,'Price Inputs'!$E$5:$E$139),2)</x:f>
        <x:v>72</x:v>
      </x:c>
      <x:c r="L163" s="61" t="n">
        <x:f>ROUND(F163*K163,2)</x:f>
        <x:v>72</x:v>
      </x:c>
      <x:c r="M163" s="59" t="str">
        <x:v>Estimate</x:v>
      </x:c>
    </x:row>
    <x:row r="164" ht="15" hidden="0" customHeight="1">
      <x:c r="A164" s="59" t="str">
        <x:v>Flight Control Rev-B</x:v>
      </x:c>
      <x:c r="B164" s="59" t="str">
        <x:v>TDK InvenSense</x:v>
      </x:c>
      <x:c r="C164" s="59" t="str">
        <x:v>ICM-42688-P</x:v>
      </x:c>
      <x:c r="D164" s="59" t="str">
        <x:v>ICM-42688-P</x:v>
      </x:c>
      <x:c r="E164" s="59" t="str">
        <x:v>revb:ICM42688P_LGA14</x:v>
      </x:c>
      <x:c r="F164" s="60" t="n">
        <x:v>1</x:v>
      </x:c>
      <x:c r="G164" s="59" t="str">
        <x:v>U20</x:v>
      </x:c>
      <x:c r="H164" s="59" t="str">
        <x:v>Qty 1 / 10</x:v>
      </x:c>
      <x:c r="I164" s="61" t="n">
        <x:f>ROUND(SUMIF('Price Inputs'!$A$5:$A$139,C164,'Price Inputs'!$D$5:$D$139),2)</x:f>
        <x:v>526.47</x:v>
      </x:c>
      <x:c r="J164" s="61" t="n">
        <x:f>ROUND(F164*I164,2)</x:f>
        <x:v>526.47</x:v>
      </x:c>
      <x:c r="K164" s="61" t="n">
        <x:f>ROUND(SUMIF('Price Inputs'!$A$5:$A$139,C164,'Price Inputs'!$E$5:$E$139),2)</x:f>
        <x:v>443.54</x:v>
      </x:c>
      <x:c r="L164" s="61" t="n">
        <x:f>ROUND(F164*K164,2)</x:f>
        <x:v>443.54</x:v>
      </x:c>
      <x:c r="M164" s="59" t="str">
        <x:v>Live/official</x:v>
      </x:c>
    </x:row>
    <x:row r="165" ht="15" hidden="0" customHeight="1">
      <x:c r="A165" s="59" t="str">
        <x:v>Flight Control Rev-B</x:v>
      </x:c>
      <x:c r="B165" s="59" t="str">
        <x:v>Taiyo Yuden</x:v>
      </x:c>
      <x:c r="C165" s="59" t="str">
        <x:v>NR4018T2R2M</x:v>
      </x:c>
      <x:c r="D165" s="59" t="str">
        <x:v>2.2u 3.5A</x:v>
      </x:c>
      <x:c r="E165" s="59" t="str">
        <x:v>Inductor_SMD:L_APV_ANR4018</x:v>
      </x:c>
      <x:c r="F165" s="60" t="n">
        <x:v>1</x:v>
      </x:c>
      <x:c r="G165" s="59" t="str">
        <x:v>L2</x:v>
      </x:c>
      <x:c r="H165" s="59" t="str">
        <x:v>Allowance</x:v>
      </x:c>
      <x:c r="I165" s="61" t="n">
        <x:f>ROUND(SUMIF('Price Inputs'!$A$5:$A$139,C165,'Price Inputs'!$D$5:$D$139),2)</x:f>
        <x:v>55</x:v>
      </x:c>
      <x:c r="J165" s="61" t="n">
        <x:f>ROUND(F165*I165,2)</x:f>
        <x:v>55</x:v>
      </x:c>
      <x:c r="K165" s="61" t="n">
        <x:f>ROUND(SUMIF('Price Inputs'!$A$5:$A$139,C165,'Price Inputs'!$E$5:$E$139),2)</x:f>
        <x:v>38</x:v>
      </x:c>
      <x:c r="L165" s="61" t="n">
        <x:f>ROUND(F165*K165,2)</x:f>
        <x:v>38</x:v>
      </x:c>
      <x:c r="M165" s="59" t="str">
        <x:v>Estimate</x:v>
      </x:c>
    </x:row>
    <x:row r="166" ht="15" hidden="0" customHeight="1">
      <x:c r="A166" s="59" t="str">
        <x:v>Flight Control Rev-B</x:v>
      </x:c>
      <x:c r="B166" s="59" t="str">
        <x:v>Texas Instruments</x:v>
      </x:c>
      <x:c r="C166" s="59" t="str">
        <x:v>CC1121RHBR</x:v>
      </x:c>
      <x:c r="D166" s="59" t="str">
        <x:v>CC1121RHBR</x:v>
      </x:c>
      <x:c r="E166" s="59" t="str">
        <x:v>Package_DFN_QFN:Texas_RHB0032E_VQFN-32-1EP_5x5mm_P0.5mm_EP3.45x3.45mm_ThermalVias</x:v>
      </x:c>
      <x:c r="F166" s="60" t="n">
        <x:v>1</x:v>
      </x:c>
      <x:c r="G166" s="59" t="str">
        <x:v>U40</x:v>
      </x:c>
      <x:c r="H166" s="59" t="str">
        <x:v>Qty 1 / 10</x:v>
      </x:c>
      <x:c r="I166" s="61" t="n">
        <x:f>ROUND(SUMIF('Price Inputs'!$A$5:$A$139,C166,'Price Inputs'!$D$5:$D$139),2)</x:f>
        <x:v>413.72</x:v>
      </x:c>
      <x:c r="J166" s="61" t="n">
        <x:f>ROUND(F166*I166,2)</x:f>
        <x:v>413.72</x:v>
      </x:c>
      <x:c r="K166" s="61" t="n">
        <x:f>ROUND(SUMIF('Price Inputs'!$A$5:$A$139,C166,'Price Inputs'!$E$5:$E$139),2)</x:f>
        <x:v>355.95</x:v>
      </x:c>
      <x:c r="L166" s="61" t="n">
        <x:f>ROUND(F166*K166,2)</x:f>
        <x:v>355.95</x:v>
      </x:c>
      <x:c r="M166" s="59" t="str">
        <x:v>Live/official</x:v>
      </x:c>
    </x:row>
    <x:row r="167" ht="15" hidden="0" customHeight="1">
      <x:c r="A167" s="59" t="str">
        <x:v>Flight Control Rev-B</x:v>
      </x:c>
      <x:c r="B167" s="59" t="str">
        <x:v>Texas Instruments</x:v>
      </x:c>
      <x:c r="C167" s="59" t="str">
        <x:v>CC1190RGVR</x:v>
      </x:c>
      <x:c r="D167" s="59" t="str">
        <x:v>CC1190RGVR</x:v>
      </x:c>
      <x:c r="E167" s="59" t="str">
        <x:v>Package_DFN_QFN:Texas_RGV0016A_VQFN-16-1EP_4x4mm_P0.65mm_EP2.1x2.1mm_ThermalVias</x:v>
      </x:c>
      <x:c r="F167" s="60" t="n">
        <x:v>1</x:v>
      </x:c>
      <x:c r="G167" s="59" t="str">
        <x:v>U41</x:v>
      </x:c>
      <x:c r="H167" s="59" t="str">
        <x:v>Qty 1 / 10</x:v>
      </x:c>
      <x:c r="I167" s="61" t="n">
        <x:f>ROUND(SUMIF('Price Inputs'!$A$5:$A$139,C167,'Price Inputs'!$D$5:$D$139),2)</x:f>
        <x:v>300.96</x:v>
      </x:c>
      <x:c r="J167" s="61" t="n">
        <x:f>ROUND(F167*I167,2)</x:f>
        <x:v>300.96</x:v>
      </x:c>
      <x:c r="K167" s="61" t="n">
        <x:f>ROUND(SUMIF('Price Inputs'!$A$5:$A$139,C167,'Price Inputs'!$E$5:$E$139),2)</x:f>
        <x:v>225.5</x:v>
      </x:c>
      <x:c r="L167" s="61" t="n">
        <x:f>ROUND(F167*K167,2)</x:f>
        <x:v>225.5</x:v>
      </x:c>
      <x:c r="M167" s="59" t="str">
        <x:v>Live/official</x:v>
      </x:c>
    </x:row>
    <x:row r="168" ht="15" hidden="0" customHeight="1">
      <x:c r="A168" s="59" t="str">
        <x:v>Flight Control Rev-B</x:v>
      </x:c>
      <x:c r="B168" s="59" t="str">
        <x:v>Texas Instruments</x:v>
      </x:c>
      <x:c r="C168" s="59" t="str">
        <x:v>TCAN3413DR</x:v>
      </x:c>
      <x:c r="D168" s="59" t="str">
        <x:v>TCAN3413DR</x:v>
      </x:c>
      <x:c r="E168" s="59" t="str">
        <x:v>Package_SO:SOIC-8_3.9x4.9mm_P1.27mm</x:v>
      </x:c>
      <x:c r="F168" s="60" t="n">
        <x:v>1</x:v>
      </x:c>
      <x:c r="G168" s="59" t="str">
        <x:v>U50</x:v>
      </x:c>
      <x:c r="H168" s="59" t="str">
        <x:v>Qty 2 / 20</x:v>
      </x:c>
      <x:c r="I168" s="61" t="n">
        <x:f>ROUND(SUMIF('Price Inputs'!$A$5:$A$139,C168,'Price Inputs'!$D$5:$D$139),2)</x:f>
        <x:v>174.25</x:v>
      </x:c>
      <x:c r="J168" s="61" t="n">
        <x:f>ROUND(F168*I168,2)</x:f>
        <x:v>174.25</x:v>
      </x:c>
      <x:c r="K168" s="61" t="n">
        <x:f>ROUND(SUMIF('Price Inputs'!$A$5:$A$139,C168,'Price Inputs'!$E$5:$E$139),2)</x:f>
        <x:v>128.59</x:v>
      </x:c>
      <x:c r="L168" s="61" t="n">
        <x:f>ROUND(F168*K168,2)</x:f>
        <x:v>128.59</x:v>
      </x:c>
      <x:c r="M168" s="59" t="str">
        <x:v>Live/official</x:v>
      </x:c>
    </x:row>
    <x:row r="169" ht="15" hidden="0" customHeight="1">
      <x:c r="A169" s="59" t="str">
        <x:v>Flight Control Rev-B</x:v>
      </x:c>
      <x:c r="B169" s="59" t="str">
        <x:v>Texas Instruments</x:v>
      </x:c>
      <x:c r="C169" s="59" t="str">
        <x:v>TLV62569DBVR</x:v>
      </x:c>
      <x:c r="D169" s="59" t="str">
        <x:v>TLV62569DBVR</x:v>
      </x:c>
      <x:c r="E169" s="59" t="str">
        <x:v>Package_TO_SOT_SMD:SOT-23-5</x:v>
      </x:c>
      <x:c r="F169" s="60" t="n">
        <x:v>1</x:v>
      </x:c>
      <x:c r="G169" s="59" t="str">
        <x:v>U2</x:v>
      </x:c>
      <x:c r="H169" s="59" t="str">
        <x:v>Allowance</x:v>
      </x:c>
      <x:c r="I169" s="61" t="n">
        <x:f>ROUND(SUMIF('Price Inputs'!$A$5:$A$139,C169,'Price Inputs'!$D$5:$D$139),2)</x:f>
        <x:v>95</x:v>
      </x:c>
      <x:c r="J169" s="61" t="n">
        <x:f>ROUND(F169*I169,2)</x:f>
        <x:v>95</x:v>
      </x:c>
      <x:c r="K169" s="61" t="n">
        <x:f>ROUND(SUMIF('Price Inputs'!$A$5:$A$139,C169,'Price Inputs'!$E$5:$E$139),2)</x:f>
        <x:v>65</x:v>
      </x:c>
      <x:c r="L169" s="61" t="n">
        <x:f>ROUND(F169*K169,2)</x:f>
        <x:v>65</x:v>
      </x:c>
      <x:c r="M169" s="59" t="str">
        <x:v>Estimate</x:v>
      </x:c>
    </x:row>
    <x:row r="170" ht="15" hidden="0" customHeight="1">
      <x:c r="A170" s="59" t="str">
        <x:v>Flight Control Rev-B</x:v>
      </x:c>
      <x:c r="B170" s="59" t="str">
        <x:v>Texas Instruments</x:v>
      </x:c>
      <x:c r="C170" s="59" t="str">
        <x:v>TLV75528PDBVR</x:v>
      </x:c>
      <x:c r="D170" s="59" t="str">
        <x:v>TLV75528PDBVR</x:v>
      </x:c>
      <x:c r="E170" s="59" t="str">
        <x:v>Package_TO_SOT_SMD:SOT-23-5</x:v>
      </x:c>
      <x:c r="F170" s="60" t="n">
        <x:v>1</x:v>
      </x:c>
      <x:c r="G170" s="59" t="str">
        <x:v>U3</x:v>
      </x:c>
      <x:c r="H170" s="59" t="str">
        <x:v>Allowance</x:v>
      </x:c>
      <x:c r="I170" s="61" t="n">
        <x:f>ROUND(SUMIF('Price Inputs'!$A$5:$A$139,C170,'Price Inputs'!$D$5:$D$139),2)</x:f>
        <x:v>70</x:v>
      </x:c>
      <x:c r="J170" s="61" t="n">
        <x:f>ROUND(F170*I170,2)</x:f>
        <x:v>70</x:v>
      </x:c>
      <x:c r="K170" s="61" t="n">
        <x:f>ROUND(SUMIF('Price Inputs'!$A$5:$A$139,C170,'Price Inputs'!$E$5:$E$139),2)</x:f>
        <x:v>48</x:v>
      </x:c>
      <x:c r="L170" s="61" t="n">
        <x:f>ROUND(F170*K170,2)</x:f>
        <x:v>48</x:v>
      </x:c>
      <x:c r="M170" s="59" t="str">
        <x:v>Estimate</x:v>
      </x:c>
    </x:row>
    <x:row r="171" ht="15" hidden="0" customHeight="1">
      <x:c r="A171" s="59" t="str">
        <x:v>Flight Control Rev-B</x:v>
      </x:c>
      <x:c r="B171" s="59" t="str">
        <x:v>Texas Instruments</x:v>
      </x:c>
      <x:c r="C171" s="59" t="str">
        <x:v>TLV75533PDBVR</x:v>
      </x:c>
      <x:c r="D171" s="59" t="str">
        <x:v>TLV75533PDBVR</x:v>
      </x:c>
      <x:c r="E171" s="59" t="str">
        <x:v>Package_TO_SOT_SMD:SOT-23-5</x:v>
      </x:c>
      <x:c r="F171" s="60" t="n">
        <x:v>1</x:v>
      </x:c>
      <x:c r="G171" s="59" t="str">
        <x:v>U4</x:v>
      </x:c>
      <x:c r="H171" s="59" t="str">
        <x:v>Allowance</x:v>
      </x:c>
      <x:c r="I171" s="61" t="n">
        <x:f>ROUND(SUMIF('Price Inputs'!$A$5:$A$139,C171,'Price Inputs'!$D$5:$D$139),2)</x:f>
        <x:v>70</x:v>
      </x:c>
      <x:c r="J171" s="61" t="n">
        <x:f>ROUND(F171*I171,2)</x:f>
        <x:v>70</x:v>
      </x:c>
      <x:c r="K171" s="61" t="n">
        <x:f>ROUND(SUMIF('Price Inputs'!$A$5:$A$139,C171,'Price Inputs'!$E$5:$E$139),2)</x:f>
        <x:v>48</x:v>
      </x:c>
      <x:c r="L171" s="61" t="n">
        <x:f>ROUND(F171*K171,2)</x:f>
        <x:v>48</x:v>
      </x:c>
      <x:c r="M171" s="59" t="str">
        <x:v>Estimate</x:v>
      </x:c>
    </x:row>
    <x:row r="172" ht="15" hidden="0" customHeight="1">
      <x:c r="A172" s="59" t="str">
        <x:v>Flight Control Rev-B</x:v>
      </x:c>
      <x:c r="B172" s="59" t="str">
        <x:v>Texas Instruments</x:v>
      </x:c>
      <x:c r="C172" s="59" t="str">
        <x:v>TPD1E0B04DPYR</x:v>
      </x:c>
      <x:c r="D172" s="59" t="str">
        <x:v>TPD1E0B04DPYR</x:v>
      </x:c>
      <x:c r="E172" s="59" t="str">
        <x:v>Package_SON:Texas_DPY0002A_0.6x1mm_P0.65mm</x:v>
      </x:c>
      <x:c r="F172" s="60" t="n">
        <x:v>1</x:v>
      </x:c>
      <x:c r="G172" s="59" t="str">
        <x:v>D30</x:v>
      </x:c>
      <x:c r="H172" s="59" t="str">
        <x:v>Allowance</x:v>
      </x:c>
      <x:c r="I172" s="61" t="n">
        <x:f>ROUND(SUMIF('Price Inputs'!$A$5:$A$139,C172,'Price Inputs'!$D$5:$D$139),2)</x:f>
        <x:v>35</x:v>
      </x:c>
      <x:c r="J172" s="61" t="n">
        <x:f>ROUND(F172*I172,2)</x:f>
        <x:v>35</x:v>
      </x:c>
      <x:c r="K172" s="61" t="n">
        <x:f>ROUND(SUMIF('Price Inputs'!$A$5:$A$139,C172,'Price Inputs'!$E$5:$E$139),2)</x:f>
        <x:v>24</x:v>
      </x:c>
      <x:c r="L172" s="61" t="n">
        <x:f>ROUND(F172*K172,2)</x:f>
        <x:v>24</x:v>
      </x:c>
      <x:c r="M172" s="59" t="str">
        <x:v>Estimate</x:v>
      </x:c>
    </x:row>
    <x:row r="173" ht="15" hidden="0" customHeight="1">
      <x:c r="A173" s="62" t="str">
        <x:v>Flight Control Rev-B</x:v>
      </x:c>
      <x:c r="B173" s="62" t="str">
        <x:v>onsemi</x:v>
      </x:c>
      <x:c r="C173" s="62" t="str">
        <x:v>ESD9B3.3ST5G</x:v>
      </x:c>
      <x:c r="D173" s="62" t="str">
        <x:v>ESD9B3.3ST5G</x:v>
      </x:c>
      <x:c r="E173" s="62" t="str">
        <x:v>Diode_SMD:D_SOD-923</x:v>
      </x:c>
      <x:c r="F173" s="63" t="n">
        <x:v>2</x:v>
      </x:c>
      <x:c r="G173" s="62" t="str">
        <x:v>D31, D32</x:v>
      </x:c>
      <x:c r="H173" s="62" t="str">
        <x:v>Allowance</x:v>
      </x:c>
      <x:c r="I173" s="64" t="n">
        <x:f>ROUND(SUMIF('Price Inputs'!$A$5:$A$139,C173,'Price Inputs'!$D$5:$D$139),2)</x:f>
        <x:v>12</x:v>
      </x:c>
      <x:c r="J173" s="64" t="n">
        <x:f>ROUND(F173*I173,2)</x:f>
        <x:v>24</x:v>
      </x:c>
      <x:c r="K173" s="64" t="n">
        <x:f>ROUND(SUMIF('Price Inputs'!$A$5:$A$139,C173,'Price Inputs'!$E$5:$E$139),2)</x:f>
        <x:v>7</x:v>
      </x:c>
      <x:c r="L173" s="64" t="n">
        <x:f>ROUND(F173*K173,2)</x:f>
        <x:v>14</x:v>
      </x:c>
      <x:c r="M173" s="62" t="str">
        <x:v>Estimate</x:v>
      </x:c>
    </x:row>
  </x:sheetData>
  <x:conditionalFormatting sqref="M2:M173">
    <x:cfRule type="containsText" dxfId="2" priority="1" operator="containsText" text="Live"/>
    <x:cfRule type="containsText" dxfId="3" priority="2" operator="containsText" text="Estimate"/>
  </x:conditionalFormatting>
  <x:pageMargins left="0.7" right="0.7" top="0.75" bottom="0.75" header="0.3" footer="0.3"/>
  <x:tableParts count="1">
    <x:tablePart xmlns:r="http://schemas.openxmlformats.org/officeDocument/2006/relationships" r:id="R03993981ab40477e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8" hidden="0" customWidth="1"/>
    <x:col min="3" max="3" width="18" hidden="0" customWidth="1"/>
    <x:col min="4" max="4" width="19" hidden="0" customWidth="1"/>
    <x:col min="5" max="5" width="3" hidden="0" customWidth="1"/>
    <x:col min="6" max="6" width="25" hidden="0" customWidth="1"/>
    <x:col min="7" max="7" width="16" hidden="0" customWidth="1"/>
    <x:col min="8" max="8" width="39" hidden="0" customWidth="1"/>
  </x:cols>
  <x:sheetData>
    <x:row r="1" ht="21.600000381469727" hidden="0" customHeight="1">
      <x:c r="A1" s="72" t="str">
        <x:v>Rev-B ESC + control-board cost model (INR)</x:v>
      </x:c>
      <x:c r="B1" s="72"/>
      <x:c r="C1" s="72"/>
      <x:c r="D1" s="72"/>
      <x:c r="E1" s="72"/>
      <x:c r="F1" s="72"/>
      <x:c r="G1" s="72"/>
      <x:c r="H1" s="72"/>
    </x:row>
    <x:row r="2" ht="15" hidden="0" customHeight="1">
      <x:c r="A2" s="12" t="str">
        <x:v>One complete prototype set. Components use current distributor/official pricing where material; custom heavy-copper fabrication remains a quote assumption.</x:v>
      </x:c>
      <x:c r="B2" s="12"/>
      <x:c r="C2" s="12"/>
      <x:c r="D2" s="12"/>
      <x:c r="E2" s="12"/>
      <x:c r="F2" s="12"/>
      <x:c r="G2" s="12"/>
      <x:c r="H2" s="12"/>
    </x:row>
    <x:row r="3"/>
    <x:row r="4" ht="15" hidden="0" customHeight="1">
      <x:c r="A4" s="82" t="str">
        <x:v>Component BOM</x:v>
      </x:c>
      <x:c r="B4" s="83" t="str">
        <x:v>Prototype INR</x:v>
      </x:c>
      <x:c r="C4" s="83" t="str">
        <x:v>10-set / set INR</x:v>
      </x:c>
      <x:c r="D4" s="84" t="str">
        <x:v>Status</x:v>
      </x:c>
      <x:c r="F4" s="82" t="str">
        <x:v>Key assumption</x:v>
      </x:c>
      <x:c r="G4" s="83" t="str">
        <x:v>Value</x:v>
      </x:c>
      <x:c r="H4" s="84" t="str">
        <x:v>Meaning</x:v>
      </x:c>
    </x:row>
    <x:row r="5" ht="15" hidden="0" customHeight="1">
      <x:c r="A5" s="85" t="str">
        <x:v>ESC Rev-B</x:v>
      </x:c>
      <x:c r="B5" s="40" t="n">
        <x:f>ROUND(SUMIF('BOM Detail'!$A$2:$A$173,A5,'BOM Detail'!$J$2:$J$173),0)</x:f>
        <x:v>44844</x:v>
      </x:c>
      <x:c r="C5" s="40" t="n">
        <x:f>ROUND(SUMIF('BOM Detail'!$A$2:$A$173,A5,'BOM Detail'!$L$2:$L$173),0)</x:f>
        <x:v>31401</x:v>
      </x:c>
      <x:c r="D5" s="86" t="str">
        <x:v>Estimated</x:v>
      </x:c>
      <x:c r="F5" s="85" t="str">
        <x:v>ESC continuous current</x:v>
      </x:c>
      <x:c r="G5" s="118" t="n">
        <x:v>60</x:v>
      </x:c>
      <x:c r="H5" s="86" t="str">
        <x:v>A per motor channel</x:v>
      </x:c>
    </x:row>
    <x:row r="6" ht="15" hidden="0" customHeight="1">
      <x:c r="A6" s="85" t="str">
        <x:v>Flight Control Rev-B</x:v>
      </x:c>
      <x:c r="B6" s="40" t="n">
        <x:f>ROUND(SUMIF('BOM Detail'!$A$2:$A$173,A6,'BOM Detail'!$J$2:$J$173),0)</x:f>
        <x:v>5287</x:v>
      </x:c>
      <x:c r="C6" s="40" t="n">
        <x:f>ROUND(SUMIF('BOM Detail'!$A$2:$A$173,A6,'BOM Detail'!$L$2:$L$173),0)</x:f>
        <x:v>4109</x:v>
      </x:c>
      <x:c r="D6" s="86" t="str">
        <x:v>Estimated</x:v>
      </x:c>
      <x:c r="F6" s="85" t="str">
        <x:v>Motor channels</x:v>
      </x:c>
      <x:c r="G6" s="118" t="n">
        <x:v>6</x:v>
      </x:c>
      <x:c r="H6" s="86" t="str">
        <x:v>360 A aggregate via six external feeds</x:v>
      </x:c>
    </x:row>
    <x:row r="7" ht="15" hidden="0" customHeight="1">
      <x:c r="A7" s="87" t="str">
        <x:v>Combined</x:v>
      </x:c>
      <x:c r="B7" s="88" t="n">
        <x:f>SUM(B5:B6)</x:f>
        <x:v>50131</x:v>
      </x:c>
      <x:c r="C7" s="88" t="n">
        <x:f>SUM(C5:C6)</x:f>
        <x:v>35510</x:v>
      </x:c>
      <x:c r="D7" s="89" t="str">
        <x:v>Price snapshot</x:v>
      </x:c>
      <x:c r="F7" s="85" t="str">
        <x:v>ESC outer copper</x:v>
      </x:c>
      <x:c r="G7" s="118" t="n">
        <x:v>4</x:v>
      </x:c>
      <x:c r="H7" s="86" t="str">
        <x:v>oz F.Cu / B.Cu</x:v>
      </x:c>
    </x:row>
    <x:row r="8" ht="15" hidden="0" customHeight="1">
      <x:c r="F8" s="85" t="str">
        <x:v>ESC inner copper</x:v>
      </x:c>
      <x:c r="G8" s="118" t="n">
        <x:v>1.5</x:v>
      </x:c>
      <x:c r="H8" s="86" t="str">
        <x:v>oz In1.Cu / In2.Cu</x:v>
      </x:c>
    </x:row>
    <x:row r="9" ht="15" hidden="0" customHeight="1">
      <x:c r="F9" s="120" t="str">
        <x:v>Price date</x:v>
      </x:c>
      <x:c r="G9" s="121" t="n">
        <x:v>46221</x:v>
      </x:c>
      <x:c r="H9" s="122" t="str">
        <x:v>Snapshot; refresh before ordering</x:v>
      </x:c>
    </x:row>
    <x:row r="10" ht="15" hidden="0" customHeight="1">
      <x:c r="A10" s="82" t="str">
        <x:v>Prototype acquisition</x:v>
      </x:c>
      <x:c r="B10" s="83" t="str">
        <x:v>Low</x:v>
      </x:c>
      <x:c r="C10" s="83" t="str">
        <x:v>Nominal</x:v>
      </x:c>
      <x:c r="D10" s="84" t="str">
        <x:v>High</x:v>
      </x:c>
    </x:row>
    <x:row r="11" ht="15" hidden="0" customHeight="1">
      <x:c r="A11" s="85" t="str">
        <x:v>Component BOM</x:v>
      </x:c>
      <x:c r="B11" s="40" t="n">
        <x:f>ROUND(B7*'Cost Assumptions'!$B$8,0)</x:f>
        <x:v>47624</x:v>
      </x:c>
      <x:c r="C11" s="40" t="n">
        <x:f>ROUND(B7,0)</x:f>
        <x:v>50131</x:v>
      </x:c>
      <x:c r="D11" s="110" t="n">
        <x:f>ROUND(B7*'Cost Assumptions'!$E$4,0)</x:f>
        <x:v>60157</x:v>
      </x:c>
      <x:c r="F11" s="136" t="str">
        <x:v>Release warning</x:v>
      </x:c>
      <x:c r="G11" s="137"/>
      <x:c r="H11" s="138"/>
    </x:row>
    <x:row r="12" ht="15" hidden="0" customHeight="1">
      <x:c r="A12" s="85" t="str">
        <x:v>Fabrication, assembly and hardware</x:v>
      </x:c>
      <x:c r="B12" s="40" t="n">
        <x:f>SUM('Cost Assumptions'!$C$11:$C$17)</x:f>
        <x:v>33500</x:v>
      </x:c>
      <x:c r="C12" s="40" t="n">
        <x:f>SUM('Cost Assumptions'!$D$11:$D$17)</x:f>
        <x:v>51800</x:v>
      </x:c>
      <x:c r="D12" s="110" t="n">
        <x:f>SUM('Cost Assumptions'!$E$11:$E$17)</x:f>
        <x:v>88000</x:v>
      </x:c>
      <x:c r="F12" s="139" t="str">
        <x:v>This is an engineering estimate, not fabrication approval. Heavy-copper quote, isolated heat-spreader design, double-pulse testing, 60 A thermal soak, EMI/VNA work, and fault testing remain mandatory before flight.</x:v>
      </x:c>
      <x:c r="G12" s="134"/>
      <x:c r="H12" s="140"/>
    </x:row>
    <x:row r="13" ht="15" hidden="0" customHeight="1">
      <x:c r="A13" s="85" t="str">
        <x:v>Subtotal</x:v>
      </x:c>
      <x:c r="B13" s="40" t="n">
        <x:f>ROUND(SUM(B11:B12),0)</x:f>
        <x:v>81124</x:v>
      </x:c>
      <x:c r="C13" s="40" t="n">
        <x:f>ROUND(SUM(C11:C12),0)</x:f>
        <x:v>101931</x:v>
      </x:c>
      <x:c r="D13" s="110" t="n">
        <x:f>ROUND(SUM(D11:D12),0)</x:f>
        <x:v>148157</x:v>
      </x:c>
      <x:c r="F13" s="139"/>
      <x:c r="G13" s="134"/>
      <x:c r="H13" s="140"/>
    </x:row>
    <x:row r="14" ht="15" hidden="0" customHeight="1">
      <x:c r="A14" s="85" t="str">
        <x:v>Contingency</x:v>
      </x:c>
      <x:c r="B14" s="40" t="n">
        <x:f>ROUND(B13*'Cost Assumptions'!$B$7,0)</x:f>
        <x:v>8112</x:v>
      </x:c>
      <x:c r="C14" s="40" t="n">
        <x:f>ROUND(C13*'Cost Assumptions'!$B$7,0)</x:f>
        <x:v>10193</x:v>
      </x:c>
      <x:c r="D14" s="110" t="n">
        <x:f>ROUND(D13*'Cost Assumptions'!$B$7,0)</x:f>
        <x:v>14816</x:v>
      </x:c>
      <x:c r="F14" s="139"/>
      <x:c r="G14" s="134"/>
      <x:c r="H14" s="140"/>
    </x:row>
    <x:row r="15" ht="15" hidden="0" customHeight="1">
      <x:c r="A15" s="85" t="str">
        <x:v>GST</x:v>
      </x:c>
      <x:c r="B15" s="40" t="n">
        <x:f>ROUND((B13+B14)*'Cost Assumptions'!$B$6,0)</x:f>
        <x:v>16062</x:v>
      </x:c>
      <x:c r="C15" s="40" t="n">
        <x:f>ROUND((C13+C14)*'Cost Assumptions'!$B$6,0)</x:f>
        <x:v>20182</x:v>
      </x:c>
      <x:c r="D15" s="110" t="n">
        <x:f>ROUND((D13+D14)*'Cost Assumptions'!$B$6,0)</x:f>
        <x:v>29335</x:v>
      </x:c>
      <x:c r="F15" s="139"/>
      <x:c r="G15" s="134"/>
      <x:c r="H15" s="140"/>
    </x:row>
    <x:row r="16" ht="15" hidden="0" customHeight="1">
      <x:c r="A16" s="111" t="str">
        <x:v>Landed prototype estimate</x:v>
      </x:c>
      <x:c r="B16" s="112" t="n">
        <x:f>SUM(B13:B15)</x:f>
        <x:v>105298</x:v>
      </x:c>
      <x:c r="C16" s="112" t="n">
        <x:f>SUM(C13:C15)</x:f>
        <x:v>132306</x:v>
      </x:c>
      <x:c r="D16" s="113" t="n">
        <x:f>SUM(D13:D15)</x:f>
        <x:v>192308</x:v>
      </x:c>
      <x:c r="F16" s="141"/>
      <x:c r="G16" s="142"/>
      <x:c r="H16" s="143"/>
    </x:row>
    <x:row r="17"/>
    <x:row r="18"/>
    <x:row r="19" ht="15" hidden="0" customHeight="1">
      <x:c r="A19" s="154" t="str">
        <x:v>Excludes battery, motors, propellers, dyno/qualification test articles and regulatory laboratory fees.</x:v>
      </x:c>
      <x:c r="B19" s="154"/>
      <x:c r="C19" s="154"/>
      <x:c r="D19" s="154"/>
      <x:c r="E19" s="154"/>
      <x:c r="F19" s="154"/>
      <x:c r="G19" s="154"/>
      <x:c r="H19" s="154"/>
    </x:row>
    <x:row r="20"/>
  </x:sheetData>
  <x:mergeCells>
    <x:mergeCell ref="A1:H1"/>
    <x:mergeCell ref="A2:H2"/>
    <x:mergeCell ref="F11:H11"/>
    <x:mergeCell ref="F12:H16"/>
    <x:mergeCell ref="A19:H19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21" hidden="0" customWidth="1"/>
    <x:col min="3" max="3" width="15" hidden="0" customWidth="1"/>
    <x:col min="4" max="4" width="17" hidden="0" customWidth="1"/>
    <x:col min="5" max="5" width="17" hidden="0" customWidth="1"/>
    <x:col min="6" max="6" width="18" hidden="0" customWidth="1"/>
    <x:col min="7" max="7" width="50" hidden="0" customWidth="1"/>
    <x:col min="8" max="8" width="58" hidden="0" customWidth="1"/>
  </x:cols>
  <x:sheetData>
    <x:row r="1">
      <x:c r="A1" s="6" t="str">
        <x:v>Rev-B price inputs (INR)</x:v>
      </x:c>
      <x:c r="B1" s="6"/>
      <x:c r="C1" s="6"/>
      <x:c r="D1" s="6"/>
      <x:c r="E1" s="6"/>
      <x:c r="F1" s="6"/>
      <x:c r="G1" s="6"/>
      <x:c r="H1" s="6"/>
    </x:row>
    <x:row r="2">
      <x:c r="A2" s="12" t="str">
        <x:v>Prices captured 2026-07-18/19. Prototype and ten-set columns apply the visible distributor quantity-break basis; estimates are explicitly labelled.</x:v>
      </x:c>
      <x:c r="B2" s="12"/>
      <x:c r="C2" s="12"/>
      <x:c r="D2" s="12"/>
      <x:c r="E2" s="12"/>
      <x:c r="F2" s="12"/>
      <x:c r="G2" s="12"/>
      <x:c r="H2" s="12"/>
    </x:row>
    <x:row r="4" ht="26.399999618530273" hidden="0" customHeight="1">
      <x:c r="A4" s="22" t="str">
        <x:v>MPN / value</x:v>
      </x:c>
      <x:c r="B4" s="22" t="str">
        <x:v>Manufacturer</x:v>
      </x:c>
      <x:c r="C4" s="22" t="str">
        <x:v>Pricing basis</x:v>
      </x:c>
      <x:c r="D4" s="22" t="str">
        <x:v>Prototype unit INR</x:v>
      </x:c>
      <x:c r="E4" s="22" t="str">
        <x:v>10-set unit INR</x:v>
      </x:c>
      <x:c r="F4" s="22" t="str">
        <x:v>Confidence</x:v>
      </x:c>
      <x:c r="G4" s="22" t="str">
        <x:v>Source URL</x:v>
      </x:c>
      <x:c r="H4" s="22" t="str">
        <x:v>Notes</x:v>
      </x:c>
    </x:row>
    <x:row r="5" ht="52.79999923706055" hidden="0" customHeight="1">
      <x:c r="A5" s="23" t="str">
        <x:v>0</x:v>
      </x:c>
      <x:c r="B5" s="23" t="str">
        <x:v>Commodity / unspecified</x:v>
      </x:c>
      <x:c r="C5" s="23" t="str">
        <x:v>Allowance</x:v>
      </x:c>
      <x:c r="D5" s="24" t="n">
        <x:v>1.2</x:v>
      </x:c>
      <x:c r="E5" s="24" t="n">
        <x:v>0.45</x:v>
      </x:c>
      <x:c r="F5" s="23" t="str">
        <x:v>Estimate</x:v>
      </x:c>
      <x:c r="G5" s="28" t="str"/>
      <x:c r="H5" s="28" t="str">
        <x:v>Commodity chip resistor allowance</x:v>
      </x:c>
    </x:row>
    <x:row r="6" ht="52.79999923706055" hidden="0" customHeight="1">
      <x:c r="A6" s="23" t="str">
        <x:v>0 (non-SigFox)</x:v>
      </x:c>
      <x:c r="B6" s="23" t="str">
        <x:v>Commodity / unspecified</x:v>
      </x:c>
      <x:c r="C6" s="23" t="str">
        <x:v>Allowance</x:v>
      </x:c>
      <x:c r="D6" s="24" t="n">
        <x:v>1.2</x:v>
      </x:c>
      <x:c r="E6" s="24" t="n">
        <x:v>0.45</x:v>
      </x:c>
      <x:c r="F6" s="23" t="str">
        <x:v>Estimate</x:v>
      </x:c>
      <x:c r="G6" s="28" t="str"/>
      <x:c r="H6" s="28" t="str">
        <x:v>Commodity chip resistor allowance</x:v>
      </x:c>
    </x:row>
    <x:row r="7" ht="52.79999923706055" hidden="0" customHeight="1">
      <x:c r="A7" s="23" t="str">
        <x:v>0 STAR</x:v>
      </x:c>
      <x:c r="B7" s="23" t="str">
        <x:v>Commodity / unspecified</x:v>
      </x:c>
      <x:c r="C7" s="23" t="str">
        <x:v>Allowance</x:v>
      </x:c>
      <x:c r="D7" s="24" t="n">
        <x:v>1.2</x:v>
      </x:c>
      <x:c r="E7" s="24" t="n">
        <x:v>0.45</x:v>
      </x:c>
      <x:c r="F7" s="23" t="str">
        <x:v>Estimate</x:v>
      </x:c>
      <x:c r="G7" s="28" t="str"/>
      <x:c r="H7" s="28" t="str">
        <x:v>Commodity chip resistor allowance</x:v>
      </x:c>
    </x:row>
    <x:row r="8" ht="52.79999923706055" hidden="0" customHeight="1">
      <x:c r="A8" s="23" t="str">
        <x:v>0.8p C0G</x:v>
      </x:c>
      <x:c r="B8" s="23" t="str">
        <x:v>Commodity / unspecified</x:v>
      </x:c>
      <x:c r="C8" s="23" t="str">
        <x:v>Allowance</x:v>
      </x:c>
      <x:c r="D8" s="24" t="n">
        <x:v>3.5</x:v>
      </x:c>
      <x:c r="E8" s="24" t="n">
        <x:v>1.5</x:v>
      </x:c>
      <x:c r="F8" s="23" t="str">
        <x:v>Estimate</x:v>
      </x:c>
      <x:c r="G8" s="28" t="str"/>
      <x:c r="H8" s="28" t="str">
        <x:v>C0G precision capacitor allowance</x:v>
      </x:c>
    </x:row>
    <x:row r="9" ht="52.79999923706055" hidden="0" customHeight="1">
      <x:c r="A9" s="23" t="str">
        <x:v>1.8n U2J</x:v>
      </x:c>
      <x:c r="B9" s="23" t="str">
        <x:v>Commodity / unspecified</x:v>
      </x:c>
      <x:c r="C9" s="23" t="str">
        <x:v>Allowance</x:v>
      </x:c>
      <x:c r="D9" s="24" t="n">
        <x:v>1.8</x:v>
      </x:c>
      <x:c r="E9" s="24" t="n">
        <x:v>0.7</x:v>
      </x:c>
      <x:c r="F9" s="23" t="str">
        <x:v>Estimate</x:v>
      </x:c>
      <x:c r="G9" s="28" t="str"/>
      <x:c r="H9" s="28" t="str">
        <x:v>Commodity ceramic capacitor allowance</x:v>
      </x:c>
    </x:row>
    <x:row r="10" ht="52.79999923706055" hidden="0" customHeight="1">
      <x:c r="A10" s="23" t="str">
        <x:v>10</x:v>
      </x:c>
      <x:c r="B10" s="23" t="str">
        <x:v>Commodity / unspecified</x:v>
      </x:c>
      <x:c r="C10" s="23" t="str">
        <x:v>Allowance</x:v>
      </x:c>
      <x:c r="D10" s="24" t="n">
        <x:v>1.2</x:v>
      </x:c>
      <x:c r="E10" s="24" t="n">
        <x:v>0.45</x:v>
      </x:c>
      <x:c r="F10" s="23" t="str">
        <x:v>Estimate</x:v>
      </x:c>
      <x:c r="G10" s="28" t="str"/>
      <x:c r="H10" s="28" t="str">
        <x:v>Commodity chip resistor allowance</x:v>
      </x:c>
    </x:row>
    <x:row r="11" ht="52.79999923706055" hidden="0" customHeight="1">
      <x:c r="A11" s="23" t="str">
        <x:v>100k</x:v>
      </x:c>
      <x:c r="B11" s="23" t="str">
        <x:v>Commodity / unspecified</x:v>
      </x:c>
      <x:c r="C11" s="23" t="str">
        <x:v>Allowance</x:v>
      </x:c>
      <x:c r="D11" s="24" t="n">
        <x:v>1.2</x:v>
      </x:c>
      <x:c r="E11" s="24" t="n">
        <x:v>0.45</x:v>
      </x:c>
      <x:c r="F11" s="23" t="str">
        <x:v>Estimate</x:v>
      </x:c>
      <x:c r="G11" s="28" t="str"/>
      <x:c r="H11" s="28" t="str">
        <x:v>Commodity chip resistor allowance</x:v>
      </x:c>
    </x:row>
    <x:row r="12" ht="52.79999923706055" hidden="0" customHeight="1">
      <x:c r="A12" s="23" t="str">
        <x:v>100k 1%</x:v>
      </x:c>
      <x:c r="B12" s="23" t="str">
        <x:v>Commodity / unspecified</x:v>
      </x:c>
      <x:c r="C12" s="23" t="str">
        <x:v>Allowance</x:v>
      </x:c>
      <x:c r="D12" s="24" t="n">
        <x:v>1.2</x:v>
      </x:c>
      <x:c r="E12" s="24" t="n">
        <x:v>0.45</x:v>
      </x:c>
      <x:c r="F12" s="23" t="str">
        <x:v>Estimate</x:v>
      </x:c>
      <x:c r="G12" s="28" t="str"/>
      <x:c r="H12" s="28" t="str">
        <x:v>Commodity chip resistor allowance</x:v>
      </x:c>
    </x:row>
    <x:row r="13" ht="52.79999923706055" hidden="0" customHeight="1">
      <x:c r="A13" s="23" t="str">
        <x:v>100n</x:v>
      </x:c>
      <x:c r="B13" s="23" t="str">
        <x:v>Commodity / unspecified</x:v>
      </x:c>
      <x:c r="C13" s="23" t="str">
        <x:v>Allowance</x:v>
      </x:c>
      <x:c r="D13" s="24" t="n">
        <x:v>1.8</x:v>
      </x:c>
      <x:c r="E13" s="24" t="n">
        <x:v>0.7</x:v>
      </x:c>
      <x:c r="F13" s="23" t="str">
        <x:v>Estimate</x:v>
      </x:c>
      <x:c r="G13" s="28" t="str"/>
      <x:c r="H13" s="28" t="str">
        <x:v>Commodity ceramic capacitor allowance</x:v>
      </x:c>
    </x:row>
    <x:row r="14" ht="52.79999923706055" hidden="0" customHeight="1">
      <x:c r="A14" s="23" t="str">
        <x:v>100n 100V</x:v>
      </x:c>
      <x:c r="B14" s="23" t="str">
        <x:v>Commodity / unspecified</x:v>
      </x:c>
      <x:c r="C14" s="23" t="str">
        <x:v>Allowance</x:v>
      </x:c>
      <x:c r="D14" s="24" t="n">
        <x:v>8</x:v>
      </x:c>
      <x:c r="E14" s="24" t="n">
        <x:v>4</x:v>
      </x:c>
      <x:c r="F14" s="23" t="str">
        <x:v>Estimate</x:v>
      </x:c>
      <x:c r="G14" s="28" t="str"/>
      <x:c r="H14" s="28" t="str">
        <x:v>High-voltage ceramic allowance</x:v>
      </x:c>
    </x:row>
    <x:row r="15" ht="52.79999923706055" hidden="0" customHeight="1">
      <x:c r="A15" s="23" t="str">
        <x:v>100n 10V</x:v>
      </x:c>
      <x:c r="B15" s="23" t="str">
        <x:v>Commodity / unspecified</x:v>
      </x:c>
      <x:c r="C15" s="23" t="str">
        <x:v>Allowance</x:v>
      </x:c>
      <x:c r="D15" s="24" t="n">
        <x:v>1.8</x:v>
      </x:c>
      <x:c r="E15" s="24" t="n">
        <x:v>0.7</x:v>
      </x:c>
      <x:c r="F15" s="23" t="str">
        <x:v>Estimate</x:v>
      </x:c>
      <x:c r="G15" s="28" t="str"/>
      <x:c r="H15" s="28" t="str">
        <x:v>Commodity ceramic capacitor allowance</x:v>
      </x:c>
    </x:row>
    <x:row r="16" ht="52.79999923706055" hidden="0" customHeight="1">
      <x:c r="A16" s="23" t="str">
        <x:v>100p</x:v>
      </x:c>
      <x:c r="B16" s="23" t="str">
        <x:v>Commodity / unspecified</x:v>
      </x:c>
      <x:c r="C16" s="23" t="str">
        <x:v>Allowance</x:v>
      </x:c>
      <x:c r="D16" s="24" t="n">
        <x:v>1.8</x:v>
      </x:c>
      <x:c r="E16" s="24" t="n">
        <x:v>0.7</x:v>
      </x:c>
      <x:c r="F16" s="23" t="str">
        <x:v>Estimate</x:v>
      </x:c>
      <x:c r="G16" s="28" t="str"/>
      <x:c r="H16" s="28" t="str">
        <x:v>Commodity ceramic capacitor allowance</x:v>
      </x:c>
    </x:row>
    <x:row r="17" ht="132" hidden="0" customHeight="1">
      <x:c r="A17" s="23" t="str">
        <x:v>100PX820MEFC18X35.5</x:v>
      </x:c>
      <x:c r="B17" s="23" t="str">
        <x:v>Rubycon</x:v>
      </x:c>
      <x:c r="C17" s="23" t="str">
        <x:v>Qty 6 / 60</x:v>
      </x:c>
      <x:c r="D17" s="24" t="n">
        <x:v>320</x:v>
      </x:c>
      <x:c r="E17" s="24" t="n">
        <x:v>184</x:v>
      </x:c>
      <x:c r="F17" s="23" t="str">
        <x:v>Benchmark estimate</x:v>
      </x:c>
      <x:c r="G17" s="28" t="str">
        <x:v>https://www.mouser.in/ProductDetail/Rubycon/100PX1000MEFC18X35.5</x:v>
      </x:c>
      <x:c r="H17" s="28" t="str">
        <x:v>820 uF exact part estimate benchmarked to the same-series 1000 uF distributor price.</x:v>
      </x:c>
    </x:row>
    <x:row r="18" ht="52.79999923706055" hidden="0" customHeight="1">
      <x:c r="A18" s="23" t="str">
        <x:v>10k</x:v>
      </x:c>
      <x:c r="B18" s="23" t="str">
        <x:v>Commodity / unspecified</x:v>
      </x:c>
      <x:c r="C18" s="23" t="str">
        <x:v>Allowance</x:v>
      </x:c>
      <x:c r="D18" s="24" t="n">
        <x:v>1.2</x:v>
      </x:c>
      <x:c r="E18" s="24" t="n">
        <x:v>0.45</x:v>
      </x:c>
      <x:c r="F18" s="23" t="str">
        <x:v>Estimate</x:v>
      </x:c>
      <x:c r="G18" s="28" t="str"/>
      <x:c r="H18" s="28" t="str">
        <x:v>Commodity chip resistor allowance</x:v>
      </x:c>
    </x:row>
    <x:row r="19" ht="66" hidden="0" customHeight="1">
      <x:c r="A19" s="23" t="str">
        <x:v>10k 0.1%</x:v>
      </x:c>
      <x:c r="B19" s="23" t="str">
        <x:v>Commodity / unspecified</x:v>
      </x:c>
      <x:c r="C19" s="23" t="str">
        <x:v>Allowance</x:v>
      </x:c>
      <x:c r="D19" s="24" t="n">
        <x:v>3.5</x:v>
      </x:c>
      <x:c r="E19" s="24" t="n">
        <x:v>1.2</x:v>
      </x:c>
      <x:c r="F19" s="23" t="str">
        <x:v>Estimate</x:v>
      </x:c>
      <x:c r="G19" s="28" t="str"/>
      <x:c r="H19" s="28" t="str">
        <x:v>Precision/high-voltage chip resistor allowance</x:v>
      </x:c>
    </x:row>
    <x:row r="20" ht="52.79999923706055" hidden="0" customHeight="1">
      <x:c r="A20" s="23" t="str">
        <x:v>10n</x:v>
      </x:c>
      <x:c r="B20" s="23" t="str">
        <x:v>Commodity / unspecified</x:v>
      </x:c>
      <x:c r="C20" s="23" t="str">
        <x:v>Allowance</x:v>
      </x:c>
      <x:c r="D20" s="24" t="n">
        <x:v>1.8</x:v>
      </x:c>
      <x:c r="E20" s="24" t="n">
        <x:v>0.7</x:v>
      </x:c>
      <x:c r="F20" s="23" t="str">
        <x:v>Estimate</x:v>
      </x:c>
      <x:c r="G20" s="28" t="str"/>
      <x:c r="H20" s="28" t="str">
        <x:v>Commodity ceramic capacitor allowance</x:v>
      </x:c>
    </x:row>
    <x:row r="21" ht="52.79999923706055" hidden="0" customHeight="1">
      <x:c r="A21" s="23" t="str">
        <x:v>10n 50V</x:v>
      </x:c>
      <x:c r="B21" s="23" t="str">
        <x:v>Commodity / unspecified</x:v>
      </x:c>
      <x:c r="C21" s="23" t="str">
        <x:v>Allowance</x:v>
      </x:c>
      <x:c r="D21" s="24" t="n">
        <x:v>1.8</x:v>
      </x:c>
      <x:c r="E21" s="24" t="n">
        <x:v>0.7</x:v>
      </x:c>
      <x:c r="F21" s="23" t="str">
        <x:v>Estimate</x:v>
      </x:c>
      <x:c r="G21" s="28" t="str"/>
      <x:c r="H21" s="28" t="str">
        <x:v>Commodity ceramic capacitor allowance</x:v>
      </x:c>
    </x:row>
    <x:row r="22" ht="52.79999923706055" hidden="0" customHeight="1">
      <x:c r="A22" s="23" t="str">
        <x:v>10n C0G</x:v>
      </x:c>
      <x:c r="B22" s="23" t="str">
        <x:v>Commodity / unspecified</x:v>
      </x:c>
      <x:c r="C22" s="23" t="str">
        <x:v>Allowance</x:v>
      </x:c>
      <x:c r="D22" s="24" t="n">
        <x:v>3.5</x:v>
      </x:c>
      <x:c r="E22" s="24" t="n">
        <x:v>1.5</x:v>
      </x:c>
      <x:c r="F22" s="23" t="str">
        <x:v>Estimate</x:v>
      </x:c>
      <x:c r="G22" s="28" t="str"/>
      <x:c r="H22" s="28" t="str">
        <x:v>C0G precision capacitor allowance</x:v>
      </x:c>
    </x:row>
    <x:row r="23" ht="39.599998474121094" hidden="0" customHeight="1">
      <x:c r="A23" s="23" t="str">
        <x:v>10u</x:v>
      </x:c>
      <x:c r="B23" s="23" t="str">
        <x:v>Commodity / unspecified</x:v>
      </x:c>
      <x:c r="C23" s="23" t="str">
        <x:v>Allowance</x:v>
      </x:c>
      <x:c r="D23" s="24" t="n">
        <x:v>9</x:v>
      </x:c>
      <x:c r="E23" s="24" t="n">
        <x:v>4</x:v>
      </x:c>
      <x:c r="F23" s="23" t="str">
        <x:v>Estimate</x:v>
      </x:c>
      <x:c r="G23" s="28" t="str"/>
      <x:c r="H23" s="28" t="str">
        <x:v>Bulk ceramic allowance</x:v>
      </x:c>
    </x:row>
    <x:row r="24" ht="316.79998779296875" hidden="0" customHeight="1">
      <x:c r="A24" s="23" t="str">
        <x:v>10u 100V</x:v>
      </x:c>
      <x:c r="B24" s="23" t="str">
        <x:v>Commodity / unspecified</x:v>
      </x:c>
      <x:c r="C24" s="23" t="str">
        <x:v>Qty 44 / 440</x:v>
      </x:c>
      <x:c r="D24" s="24" t="n">
        <x:v>84.7</x:v>
      </x:c>
      <x:c r="E24" s="24" t="n">
        <x:v>61.59</x:v>
      </x:c>
      <x:c r="F24" s="23" t="str">
        <x:v>Live/official</x:v>
      </x:c>
      <x:c r="G24" s="28" t="str">
        <x:v>https://www.mouser.in/c/passive-components/capacitors/ceramic-capacitors/mlccs-multilayer-ceramic-capacitors/multilayer-ceramic-capacitors-mlcc-smd-smt/?capacitance=10+uF&amp;case+code+-+in=1210&amp;voltage+rating+dc=100+VDC</x:v>
      </x:c>
      <x:c r="H24" s="28" t="str">
        <x:v>Costed as Samsung 1210 X7S automotive MLCC; verify DC-bias curve before AVL release.</x:v>
      </x:c>
    </x:row>
    <x:row r="25" ht="39.599998474121094" hidden="0" customHeight="1">
      <x:c r="A25" s="23" t="str">
        <x:v>10u 10V</x:v>
      </x:c>
      <x:c r="B25" s="23" t="str">
        <x:v>Commodity / unspecified</x:v>
      </x:c>
      <x:c r="C25" s="23" t="str">
        <x:v>Allowance</x:v>
      </x:c>
      <x:c r="D25" s="24" t="n">
        <x:v>9</x:v>
      </x:c>
      <x:c r="E25" s="24" t="n">
        <x:v>4</x:v>
      </x:c>
      <x:c r="F25" s="23" t="str">
        <x:v>Estimate</x:v>
      </x:c>
      <x:c r="G25" s="28" t="str"/>
      <x:c r="H25" s="28" t="str">
        <x:v>Bulk ceramic allowance</x:v>
      </x:c>
    </x:row>
    <x:row r="26" ht="26.399999618530273" hidden="0" customHeight="1">
      <x:c r="A26" s="23" t="str">
        <x:v>120 DNP</x:v>
      </x:c>
      <x:c r="B26" s="23" t="str">
        <x:v>Commodity / unspecified</x:v>
      </x:c>
      <x:c r="C26" s="23" t="str">
        <x:v>Allowance</x:v>
      </x:c>
      <x:c r="D26" s="24" t="n">
        <x:v>0</x:v>
      </x:c>
      <x:c r="E26" s="24" t="n">
        <x:v>0</x:v>
      </x:c>
      <x:c r="F26" s="23" t="str">
        <x:v>DNP</x:v>
      </x:c>
      <x:c r="G26" s="28" t="str"/>
      <x:c r="H26" s="28" t="str">
        <x:v>Not populated</x:v>
      </x:c>
    </x:row>
    <x:row r="27" ht="66" hidden="0" customHeight="1">
      <x:c r="A27" s="23" t="str">
        <x:v>1206L075/24WR</x:v>
      </x:c>
      <x:c r="B27" s="23" t="str">
        <x:v>Littelfuse</x:v>
      </x:c>
      <x:c r="C27" s="23" t="str">
        <x:v>Allowance</x:v>
      </x:c>
      <x:c r="D27" s="24" t="n">
        <x:v>30</x:v>
      </x:c>
      <x:c r="E27" s="24" t="n">
        <x:v>20</x:v>
      </x:c>
      <x:c r="F27" s="23" t="str">
        <x:v>Estimate</x:v>
      </x:c>
      <x:c r="G27" s="28" t="str"/>
      <x:c r="H27" s="28" t="str">
        <x:v>Low-volume distributor-category estimate</x:v>
      </x:c>
    </x:row>
    <x:row r="28" ht="52.79999923706055" hidden="0" customHeight="1">
      <x:c r="A28" s="23" t="str">
        <x:v>12p C0G</x:v>
      </x:c>
      <x:c r="B28" s="23" t="str">
        <x:v>Commodity / unspecified</x:v>
      </x:c>
      <x:c r="C28" s="23" t="str">
        <x:v>Allowance</x:v>
      </x:c>
      <x:c r="D28" s="24" t="n">
        <x:v>3.5</x:v>
      </x:c>
      <x:c r="E28" s="24" t="n">
        <x:v>1.5</x:v>
      </x:c>
      <x:c r="F28" s="23" t="str">
        <x:v>Estimate</x:v>
      </x:c>
      <x:c r="G28" s="28" t="str"/>
      <x:c r="H28" s="28" t="str">
        <x:v>C0G precision capacitor allowance</x:v>
      </x:c>
    </x:row>
    <x:row r="29" ht="52.79999923706055" hidden="0" customHeight="1">
      <x:c r="A29" s="23" t="str">
        <x:v>14.3k 1%</x:v>
      </x:c>
      <x:c r="B29" s="23" t="str">
        <x:v>Commodity / unspecified</x:v>
      </x:c>
      <x:c r="C29" s="23" t="str">
        <x:v>Allowance</x:v>
      </x:c>
      <x:c r="D29" s="24" t="n">
        <x:v>1.2</x:v>
      </x:c>
      <x:c r="E29" s="24" t="n">
        <x:v>0.45</x:v>
      </x:c>
      <x:c r="F29" s="23" t="str">
        <x:v>Estimate</x:v>
      </x:c>
      <x:c r="G29" s="28" t="str"/>
      <x:c r="H29" s="28" t="str">
        <x:v>Commodity chip resistor allowance</x:v>
      </x:c>
    </x:row>
    <x:row r="30" ht="66" hidden="0" customHeight="1">
      <x:c r="A30" s="23" t="str">
        <x:v>150k 0.1%</x:v>
      </x:c>
      <x:c r="B30" s="23" t="str">
        <x:v>Commodity / unspecified</x:v>
      </x:c>
      <x:c r="C30" s="23" t="str">
        <x:v>Allowance</x:v>
      </x:c>
      <x:c r="D30" s="24" t="n">
        <x:v>3.5</x:v>
      </x:c>
      <x:c r="E30" s="24" t="n">
        <x:v>1.2</x:v>
      </x:c>
      <x:c r="F30" s="23" t="str">
        <x:v>Estimate</x:v>
      </x:c>
      <x:c r="G30" s="28" t="str"/>
      <x:c r="H30" s="28" t="str">
        <x:v>Precision/high-voltage chip resistor allowance</x:v>
      </x:c>
    </x:row>
    <x:row r="31" ht="52.79999923706055" hidden="0" customHeight="1">
      <x:c r="A31" s="23" t="str">
        <x:v>15p C0G</x:v>
      </x:c>
      <x:c r="B31" s="23" t="str">
        <x:v>Commodity / unspecified</x:v>
      </x:c>
      <x:c r="C31" s="23" t="str">
        <x:v>Allowance</x:v>
      </x:c>
      <x:c r="D31" s="24" t="n">
        <x:v>3.5</x:v>
      </x:c>
      <x:c r="E31" s="24" t="n">
        <x:v>1.5</x:v>
      </x:c>
      <x:c r="F31" s="23" t="str">
        <x:v>Estimate</x:v>
      </x:c>
      <x:c r="G31" s="28" t="str"/>
      <x:c r="H31" s="28" t="str">
        <x:v>C0G precision capacitor allowance</x:v>
      </x:c>
    </x:row>
    <x:row r="32" ht="52.79999923706055" hidden="0" customHeight="1">
      <x:c r="A32" s="23" t="str">
        <x:v>1k</x:v>
      </x:c>
      <x:c r="B32" s="23" t="str">
        <x:v>Commodity / unspecified</x:v>
      </x:c>
      <x:c r="C32" s="23" t="str">
        <x:v>Allowance</x:v>
      </x:c>
      <x:c r="D32" s="24" t="n">
        <x:v>1.2</x:v>
      </x:c>
      <x:c r="E32" s="24" t="n">
        <x:v>0.45</x:v>
      </x:c>
      <x:c r="F32" s="23" t="str">
        <x:v>Estimate</x:v>
      </x:c>
      <x:c r="G32" s="28" t="str"/>
      <x:c r="H32" s="28" t="str">
        <x:v>Commodity chip resistor allowance</x:v>
      </x:c>
    </x:row>
    <x:row r="33" ht="52.79999923706055" hidden="0" customHeight="1">
      <x:c r="A33" s="23" t="str">
        <x:v>1M</x:v>
      </x:c>
      <x:c r="B33" s="23" t="str">
        <x:v>Commodity / unspecified</x:v>
      </x:c>
      <x:c r="C33" s="23" t="str">
        <x:v>Allowance</x:v>
      </x:c>
      <x:c r="D33" s="24" t="n">
        <x:v>1.2</x:v>
      </x:c>
      <x:c r="E33" s="24" t="n">
        <x:v>0.45</x:v>
      </x:c>
      <x:c r="F33" s="23" t="str">
        <x:v>Estimate</x:v>
      </x:c>
      <x:c r="G33" s="28" t="str"/>
      <x:c r="H33" s="28" t="str">
        <x:v>Commodity chip resistor allowance</x:v>
      </x:c>
    </x:row>
    <x:row r="34" ht="52.79999923706055" hidden="0" customHeight="1">
      <x:c r="A34" s="23" t="str">
        <x:v>1n</x:v>
      </x:c>
      <x:c r="B34" s="23" t="str">
        <x:v>Commodity / unspecified</x:v>
      </x:c>
      <x:c r="C34" s="23" t="str">
        <x:v>Allowance</x:v>
      </x:c>
      <x:c r="D34" s="24" t="n">
        <x:v>1.8</x:v>
      </x:c>
      <x:c r="E34" s="24" t="n">
        <x:v>0.7</x:v>
      </x:c>
      <x:c r="F34" s="23" t="str">
        <x:v>Estimate</x:v>
      </x:c>
      <x:c r="G34" s="28" t="str"/>
      <x:c r="H34" s="28" t="str">
        <x:v>Commodity ceramic capacitor allowance</x:v>
      </x:c>
    </x:row>
    <x:row r="35" ht="52.79999923706055" hidden="0" customHeight="1">
      <x:c r="A35" s="23" t="str">
        <x:v>1n C0G</x:v>
      </x:c>
      <x:c r="B35" s="23" t="str">
        <x:v>Commodity / unspecified</x:v>
      </x:c>
      <x:c r="C35" s="23" t="str">
        <x:v>Allowance</x:v>
      </x:c>
      <x:c r="D35" s="24" t="n">
        <x:v>3.5</x:v>
      </x:c>
      <x:c r="E35" s="24" t="n">
        <x:v>1.5</x:v>
      </x:c>
      <x:c r="F35" s="23" t="str">
        <x:v>Estimate</x:v>
      </x:c>
      <x:c r="G35" s="28" t="str"/>
      <x:c r="H35" s="28" t="str">
        <x:v>C0G precision capacitor allowance</x:v>
      </x:c>
    </x:row>
    <x:row r="36" ht="52.79999923706055" hidden="0" customHeight="1">
      <x:c r="A36" s="23" t="str">
        <x:v>1u</x:v>
      </x:c>
      <x:c r="B36" s="23" t="str">
        <x:v>Commodity / unspecified</x:v>
      </x:c>
      <x:c r="C36" s="23" t="str">
        <x:v>Allowance</x:v>
      </x:c>
      <x:c r="D36" s="24" t="n">
        <x:v>1.8</x:v>
      </x:c>
      <x:c r="E36" s="24" t="n">
        <x:v>0.7</x:v>
      </x:c>
      <x:c r="F36" s="23" t="str">
        <x:v>Estimate</x:v>
      </x:c>
      <x:c r="G36" s="28" t="str"/>
      <x:c r="H36" s="28" t="str">
        <x:v>Commodity ceramic capacitor allowance</x:v>
      </x:c>
    </x:row>
    <x:row r="37" ht="52.79999923706055" hidden="0" customHeight="1">
      <x:c r="A37" s="23" t="str">
        <x:v>1u 10V</x:v>
      </x:c>
      <x:c r="B37" s="23" t="str">
        <x:v>Commodity / unspecified</x:v>
      </x:c>
      <x:c r="C37" s="23" t="str">
        <x:v>Allowance</x:v>
      </x:c>
      <x:c r="D37" s="24" t="n">
        <x:v>1.8</x:v>
      </x:c>
      <x:c r="E37" s="24" t="n">
        <x:v>0.7</x:v>
      </x:c>
      <x:c r="F37" s="23" t="str">
        <x:v>Estimate</x:v>
      </x:c>
      <x:c r="G37" s="28" t="str"/>
      <x:c r="H37" s="28" t="str">
        <x:v>Commodity ceramic capacitor allowance</x:v>
      </x:c>
    </x:row>
    <x:row r="38" ht="52.79999923706055" hidden="0" customHeight="1">
      <x:c r="A38" s="23" t="str">
        <x:v>1u 16V</x:v>
      </x:c>
      <x:c r="B38" s="23" t="str">
        <x:v>Commodity / unspecified</x:v>
      </x:c>
      <x:c r="C38" s="23" t="str">
        <x:v>Allowance</x:v>
      </x:c>
      <x:c r="D38" s="24" t="n">
        <x:v>1.8</x:v>
      </x:c>
      <x:c r="E38" s="24" t="n">
        <x:v>0.7</x:v>
      </x:c>
      <x:c r="F38" s="23" t="str">
        <x:v>Estimate</x:v>
      </x:c>
      <x:c r="G38" s="28" t="str"/>
      <x:c r="H38" s="28" t="str">
        <x:v>Commodity ceramic capacitor allowance</x:v>
      </x:c>
    </x:row>
    <x:row r="39" ht="52.79999923706055" hidden="0" customHeight="1">
      <x:c r="A39" s="23" t="str">
        <x:v>2.2</x:v>
      </x:c>
      <x:c r="B39" s="23" t="str">
        <x:v>Commodity / unspecified</x:v>
      </x:c>
      <x:c r="C39" s="23" t="str">
        <x:v>Allowance</x:v>
      </x:c>
      <x:c r="D39" s="24" t="n">
        <x:v>1.2</x:v>
      </x:c>
      <x:c r="E39" s="24" t="n">
        <x:v>0.45</x:v>
      </x:c>
      <x:c r="F39" s="23" t="str">
        <x:v>Estimate</x:v>
      </x:c>
      <x:c r="G39" s="28" t="str"/>
      <x:c r="H39" s="28" t="str">
        <x:v>Commodity chip resistor allowance</x:v>
      </x:c>
    </x:row>
    <x:row r="40" ht="52.79999923706055" hidden="0" customHeight="1">
      <x:c r="A40" s="23" t="str">
        <x:v>2.2n 50V X7R</x:v>
      </x:c>
      <x:c r="B40" s="23" t="str">
        <x:v>Commodity / unspecified</x:v>
      </x:c>
      <x:c r="C40" s="23" t="str">
        <x:v>Allowance</x:v>
      </x:c>
      <x:c r="D40" s="24" t="n">
        <x:v>1.8</x:v>
      </x:c>
      <x:c r="E40" s="24" t="n">
        <x:v>0.7</x:v>
      </x:c>
      <x:c r="F40" s="23" t="str">
        <x:v>Estimate</x:v>
      </x:c>
      <x:c r="G40" s="28" t="str"/>
      <x:c r="H40" s="28" t="str">
        <x:v>Commodity ceramic capacitor allowance</x:v>
      </x:c>
    </x:row>
    <x:row r="41" ht="52.79999923706055" hidden="0" customHeight="1">
      <x:c r="A41" s="23" t="str">
        <x:v>2.2u</x:v>
      </x:c>
      <x:c r="B41" s="23" t="str">
        <x:v>Commodity / unspecified</x:v>
      </x:c>
      <x:c r="C41" s="23" t="str">
        <x:v>Allowance</x:v>
      </x:c>
      <x:c r="D41" s="24" t="n">
        <x:v>1.8</x:v>
      </x:c>
      <x:c r="E41" s="24" t="n">
        <x:v>0.7</x:v>
      </x:c>
      <x:c r="F41" s="23" t="str">
        <x:v>Estimate</x:v>
      </x:c>
      <x:c r="G41" s="28" t="str"/>
      <x:c r="H41" s="28" t="str">
        <x:v>Commodity ceramic capacitor allowance</x:v>
      </x:c>
    </x:row>
    <x:row r="42" ht="52.79999923706055" hidden="0" customHeight="1">
      <x:c r="A42" s="23" t="str">
        <x:v>2.2u 100V X7R</x:v>
      </x:c>
      <x:c r="B42" s="23" t="str">
        <x:v>Commodity / unspecified</x:v>
      </x:c>
      <x:c r="C42" s="23" t="str">
        <x:v>Allowance</x:v>
      </x:c>
      <x:c r="D42" s="24" t="n">
        <x:v>8</x:v>
      </x:c>
      <x:c r="E42" s="24" t="n">
        <x:v>4</x:v>
      </x:c>
      <x:c r="F42" s="23" t="str">
        <x:v>Estimate</x:v>
      </x:c>
      <x:c r="G42" s="28" t="str"/>
      <x:c r="H42" s="28" t="str">
        <x:v>High-voltage ceramic allowance</x:v>
      </x:c>
    </x:row>
    <x:row r="43" ht="52.79999923706055" hidden="0" customHeight="1">
      <x:c r="A43" s="23" t="str">
        <x:v>2.2u 10V</x:v>
      </x:c>
      <x:c r="B43" s="23" t="str">
        <x:v>Commodity / unspecified</x:v>
      </x:c>
      <x:c r="C43" s="23" t="str">
        <x:v>Allowance</x:v>
      </x:c>
      <x:c r="D43" s="24" t="n">
        <x:v>1.8</x:v>
      </x:c>
      <x:c r="E43" s="24" t="n">
        <x:v>0.7</x:v>
      </x:c>
      <x:c r="F43" s="23" t="str">
        <x:v>Estimate</x:v>
      </x:c>
      <x:c r="G43" s="28" t="str"/>
      <x:c r="H43" s="28" t="str">
        <x:v>Commodity ceramic capacitor allowance</x:v>
      </x:c>
    </x:row>
    <x:row r="44" ht="26.399999618530273" hidden="0" customHeight="1">
      <x:c r="A44" s="23" t="str">
        <x:v>2.4p DNP</x:v>
      </x:c>
      <x:c r="B44" s="23" t="str">
        <x:v>Commodity / unspecified</x:v>
      </x:c>
      <x:c r="C44" s="23" t="str">
        <x:v>Allowance</x:v>
      </x:c>
      <x:c r="D44" s="24" t="n">
        <x:v>0</x:v>
      </x:c>
      <x:c r="E44" s="24" t="n">
        <x:v>0</x:v>
      </x:c>
      <x:c r="F44" s="23" t="str">
        <x:v>DNP</x:v>
      </x:c>
      <x:c r="G44" s="28" t="str"/>
      <x:c r="H44" s="28" t="str">
        <x:v>Not populated</x:v>
      </x:c>
    </x:row>
    <x:row r="45" ht="26.399999618530273" hidden="0" customHeight="1">
      <x:c r="A45" s="23" t="str">
        <x:v>2.7p DNP</x:v>
      </x:c>
      <x:c r="B45" s="23" t="str">
        <x:v>Commodity / unspecified</x:v>
      </x:c>
      <x:c r="C45" s="23" t="str">
        <x:v>Allowance</x:v>
      </x:c>
      <x:c r="D45" s="24" t="n">
        <x:v>0</x:v>
      </x:c>
      <x:c r="E45" s="24" t="n">
        <x:v>0</x:v>
      </x:c>
      <x:c r="F45" s="23" t="str">
        <x:v>DNP</x:v>
      </x:c>
      <x:c r="G45" s="28" t="str"/>
      <x:c r="H45" s="28" t="str">
        <x:v>Not populated</x:v>
      </x:c>
    </x:row>
    <x:row r="46" ht="52.79999923706055" hidden="0" customHeight="1">
      <x:c r="A46" s="23" t="str">
        <x:v>220n</x:v>
      </x:c>
      <x:c r="B46" s="23" t="str">
        <x:v>Commodity / unspecified</x:v>
      </x:c>
      <x:c r="C46" s="23" t="str">
        <x:v>Allowance</x:v>
      </x:c>
      <x:c r="D46" s="24" t="n">
        <x:v>1.8</x:v>
      </x:c>
      <x:c r="E46" s="24" t="n">
        <x:v>0.7</x:v>
      </x:c>
      <x:c r="F46" s="23" t="str">
        <x:v>Estimate</x:v>
      </x:c>
      <x:c r="G46" s="28" t="str"/>
      <x:c r="H46" s="28" t="str">
        <x:v>Commodity ceramic capacitor allowance</x:v>
      </x:c>
    </x:row>
    <x:row r="47" ht="52.79999923706055" hidden="0" customHeight="1">
      <x:c r="A47" s="23" t="str">
        <x:v>226k 1%</x:v>
      </x:c>
      <x:c r="B47" s="23" t="str">
        <x:v>Commodity / unspecified</x:v>
      </x:c>
      <x:c r="C47" s="23" t="str">
        <x:v>Allowance</x:v>
      </x:c>
      <x:c r="D47" s="24" t="n">
        <x:v>1.2</x:v>
      </x:c>
      <x:c r="E47" s="24" t="n">
        <x:v>0.45</x:v>
      </x:c>
      <x:c r="F47" s="23" t="str">
        <x:v>Estimate</x:v>
      </x:c>
      <x:c r="G47" s="28" t="str"/>
      <x:c r="H47" s="28" t="str">
        <x:v>Commodity chip resistor allowance</x:v>
      </x:c>
    </x:row>
    <x:row r="48" ht="52.79999923706055" hidden="0" customHeight="1">
      <x:c r="A48" s="23" t="str">
        <x:v>22p C0G</x:v>
      </x:c>
      <x:c r="B48" s="23" t="str">
        <x:v>Commodity / unspecified</x:v>
      </x:c>
      <x:c r="C48" s="23" t="str">
        <x:v>Allowance</x:v>
      </x:c>
      <x:c r="D48" s="24" t="n">
        <x:v>3.5</x:v>
      </x:c>
      <x:c r="E48" s="24" t="n">
        <x:v>1.5</x:v>
      </x:c>
      <x:c r="F48" s="23" t="str">
        <x:v>Estimate</x:v>
      </x:c>
      <x:c r="G48" s="28" t="str"/>
      <x:c r="H48" s="28" t="str">
        <x:v>C0G precision capacitor allowance</x:v>
      </x:c>
    </x:row>
    <x:row r="49" ht="39.599998474121094" hidden="0" customHeight="1">
      <x:c r="A49" s="23" t="str">
        <x:v>22u 10V</x:v>
      </x:c>
      <x:c r="B49" s="23" t="str">
        <x:v>Commodity / unspecified</x:v>
      </x:c>
      <x:c r="C49" s="23" t="str">
        <x:v>Allowance</x:v>
      </x:c>
      <x:c r="D49" s="24" t="n">
        <x:v>9</x:v>
      </x:c>
      <x:c r="E49" s="24" t="n">
        <x:v>4</x:v>
      </x:c>
      <x:c r="F49" s="23" t="str">
        <x:v>Estimate</x:v>
      </x:c>
      <x:c r="G49" s="28" t="str"/>
      <x:c r="H49" s="28" t="str">
        <x:v>Bulk ceramic allowance</x:v>
      </x:c>
    </x:row>
    <x:row r="50" ht="52.79999923706055" hidden="0" customHeight="1">
      <x:c r="A50" s="23" t="str">
        <x:v>27</x:v>
      </x:c>
      <x:c r="B50" s="23" t="str">
        <x:v>Commodity / unspecified</x:v>
      </x:c>
      <x:c r="C50" s="23" t="str">
        <x:v>Allowance</x:v>
      </x:c>
      <x:c r="D50" s="24" t="n">
        <x:v>1.2</x:v>
      </x:c>
      <x:c r="E50" s="24" t="n">
        <x:v>0.45</x:v>
      </x:c>
      <x:c r="F50" s="23" t="str">
        <x:v>Estimate</x:v>
      </x:c>
      <x:c r="G50" s="28" t="str"/>
      <x:c r="H50" s="28" t="str">
        <x:v>Commodity chip resistor allowance</x:v>
      </x:c>
    </x:row>
    <x:row r="51" ht="52.79999923706055" hidden="0" customHeight="1">
      <x:c r="A51" s="23" t="str">
        <x:v>27p</x:v>
      </x:c>
      <x:c r="B51" s="23" t="str">
        <x:v>Commodity / unspecified</x:v>
      </x:c>
      <x:c r="C51" s="23" t="str">
        <x:v>Allowance</x:v>
      </x:c>
      <x:c r="D51" s="24" t="n">
        <x:v>1.8</x:v>
      </x:c>
      <x:c r="E51" s="24" t="n">
        <x:v>0.7</x:v>
      </x:c>
      <x:c r="F51" s="23" t="str">
        <x:v>Estimate</x:v>
      </x:c>
      <x:c r="G51" s="28" t="str"/>
      <x:c r="H51" s="28" t="str">
        <x:v>Commodity ceramic capacitor allowance</x:v>
      </x:c>
    </x:row>
    <x:row r="52" ht="66" hidden="0" customHeight="1">
      <x:c r="A52" s="23" t="str">
        <x:v>2N7002P</x:v>
      </x:c>
      <x:c r="B52" s="23" t="str">
        <x:v>Nexperia</x:v>
      </x:c>
      <x:c r="C52" s="23" t="str">
        <x:v>Allowance</x:v>
      </x:c>
      <x:c r="D52" s="24" t="n">
        <x:v>9</x:v>
      </x:c>
      <x:c r="E52" s="24" t="n">
        <x:v>5</x:v>
      </x:c>
      <x:c r="F52" s="23" t="str">
        <x:v>Estimate</x:v>
      </x:c>
      <x:c r="G52" s="28" t="str"/>
      <x:c r="H52" s="28" t="str">
        <x:v>Low-volume distributor-category estimate</x:v>
      </x:c>
    </x:row>
    <x:row r="53" ht="52.79999923706055" hidden="0" customHeight="1">
      <x:c r="A53" s="23" t="str">
        <x:v>3.3k</x:v>
      </x:c>
      <x:c r="B53" s="23" t="str">
        <x:v>Commodity / unspecified</x:v>
      </x:c>
      <x:c r="C53" s="23" t="str">
        <x:v>Allowance</x:v>
      </x:c>
      <x:c r="D53" s="24" t="n">
        <x:v>1.2</x:v>
      </x:c>
      <x:c r="E53" s="24" t="n">
        <x:v>0.45</x:v>
      </x:c>
      <x:c r="F53" s="23" t="str">
        <x:v>Estimate</x:v>
      </x:c>
      <x:c r="G53" s="28" t="str"/>
      <x:c r="H53" s="28" t="str">
        <x:v>Commodity chip resistor allowance</x:v>
      </x:c>
    </x:row>
    <x:row r="54" ht="52.79999923706055" hidden="0" customHeight="1">
      <x:c r="A54" s="23" t="str">
        <x:v>3.3n X7R</x:v>
      </x:c>
      <x:c r="B54" s="23" t="str">
        <x:v>Commodity / unspecified</x:v>
      </x:c>
      <x:c r="C54" s="23" t="str">
        <x:v>Allowance</x:v>
      </x:c>
      <x:c r="D54" s="24" t="n">
        <x:v>1.8</x:v>
      </x:c>
      <x:c r="E54" s="24" t="n">
        <x:v>0.7</x:v>
      </x:c>
      <x:c r="F54" s="23" t="str">
        <x:v>Estimate</x:v>
      </x:c>
      <x:c r="G54" s="28" t="str"/>
      <x:c r="H54" s="28" t="str">
        <x:v>Commodity ceramic capacitor allowance</x:v>
      </x:c>
    </x:row>
    <x:row r="55" ht="52.79999923706055" hidden="0" customHeight="1">
      <x:c r="A55" s="23" t="str">
        <x:v>3.3p C0G</x:v>
      </x:c>
      <x:c r="B55" s="23" t="str">
        <x:v>Commodity / unspecified</x:v>
      </x:c>
      <x:c r="C55" s="23" t="str">
        <x:v>Allowance</x:v>
      </x:c>
      <x:c r="D55" s="24" t="n">
        <x:v>3.5</x:v>
      </x:c>
      <x:c r="E55" s="24" t="n">
        <x:v>1.5</x:v>
      </x:c>
      <x:c r="F55" s="23" t="str">
        <x:v>Estimate</x:v>
      </x:c>
      <x:c r="G55" s="28" t="str"/>
      <x:c r="H55" s="28" t="str">
        <x:v>C0G precision capacitor allowance</x:v>
      </x:c>
    </x:row>
    <x:row r="56" ht="52.79999923706055" hidden="0" customHeight="1">
      <x:c r="A56" s="23" t="str">
        <x:v>33</x:v>
      </x:c>
      <x:c r="B56" s="23" t="str">
        <x:v>Commodity / unspecified</x:v>
      </x:c>
      <x:c r="C56" s="23" t="str">
        <x:v>Allowance</x:v>
      </x:c>
      <x:c r="D56" s="24" t="n">
        <x:v>1.2</x:v>
      </x:c>
      <x:c r="E56" s="24" t="n">
        <x:v>0.45</x:v>
      </x:c>
      <x:c r="F56" s="23" t="str">
        <x:v>Estimate</x:v>
      </x:c>
      <x:c r="G56" s="28" t="str"/>
      <x:c r="H56" s="28" t="str">
        <x:v>Commodity chip resistor allowance</x:v>
      </x:c>
    </x:row>
    <x:row r="57" ht="66" hidden="0" customHeight="1">
      <x:c r="A57" s="23" t="str">
        <x:v>33k 0.1%</x:v>
      </x:c>
      <x:c r="B57" s="23" t="str">
        <x:v>Commodity / unspecified</x:v>
      </x:c>
      <x:c r="C57" s="23" t="str">
        <x:v>Allowance</x:v>
      </x:c>
      <x:c r="D57" s="24" t="n">
        <x:v>3.5</x:v>
      </x:c>
      <x:c r="E57" s="24" t="n">
        <x:v>1.2</x:v>
      </x:c>
      <x:c r="F57" s="23" t="str">
        <x:v>Estimate</x:v>
      </x:c>
      <x:c r="G57" s="28" t="str"/>
      <x:c r="H57" s="28" t="str">
        <x:v>Precision/high-voltage chip resistor allowance</x:v>
      </x:c>
    </x:row>
    <x:row r="58" ht="52.79999923706055" hidden="0" customHeight="1">
      <x:c r="A58" s="23" t="str">
        <x:v>33p C0G</x:v>
      </x:c>
      <x:c r="B58" s="23" t="str">
        <x:v>Commodity / unspecified</x:v>
      </x:c>
      <x:c r="C58" s="23" t="str">
        <x:v>Allowance</x:v>
      </x:c>
      <x:c r="D58" s="24" t="n">
        <x:v>3.5</x:v>
      </x:c>
      <x:c r="E58" s="24" t="n">
        <x:v>1.5</x:v>
      </x:c>
      <x:c r="F58" s="23" t="str">
        <x:v>Estimate</x:v>
      </x:c>
      <x:c r="G58" s="28" t="str"/>
      <x:c r="H58" s="28" t="str">
        <x:v>C0G precision capacitor allowance</x:v>
      </x:c>
    </x:row>
    <x:row r="59" ht="39.599998474121094" hidden="0" customHeight="1">
      <x:c r="A59" s="23" t="str">
        <x:v>33u 1.8A</x:v>
      </x:c>
      <x:c r="B59" s="23" t="str">
        <x:v>Commodity / unspecified</x:v>
      </x:c>
      <x:c r="C59" s="23" t="str">
        <x:v>Allowance</x:v>
      </x:c>
      <x:c r="D59" s="24" t="n">
        <x:v>35</x:v>
      </x:c>
      <x:c r="E59" s="24" t="n">
        <x:v>24</x:v>
      </x:c>
      <x:c r="F59" s="23" t="str">
        <x:v>Estimate</x:v>
      </x:c>
      <x:c r="G59" s="28" t="str"/>
      <x:c r="H59" s="28" t="str">
        <x:v>Power/RF inductor allowance</x:v>
      </x:c>
    </x:row>
    <x:row r="60" ht="52.79999923706055" hidden="0" customHeight="1">
      <x:c r="A60" s="23" t="str">
        <x:v>4.7k</x:v>
      </x:c>
      <x:c r="B60" s="23" t="str">
        <x:v>Commodity / unspecified</x:v>
      </x:c>
      <x:c r="C60" s="23" t="str">
        <x:v>Allowance</x:v>
      </x:c>
      <x:c r="D60" s="24" t="n">
        <x:v>1.2</x:v>
      </x:c>
      <x:c r="E60" s="24" t="n">
        <x:v>0.45</x:v>
      </x:c>
      <x:c r="F60" s="23" t="str">
        <x:v>Estimate</x:v>
      </x:c>
      <x:c r="G60" s="28" t="str"/>
      <x:c r="H60" s="28" t="str">
        <x:v>Commodity chip resistor allowance</x:v>
      </x:c>
    </x:row>
    <x:row r="61" ht="52.79999923706055" hidden="0" customHeight="1">
      <x:c r="A61" s="23" t="str">
        <x:v>4.7n 2kV</x:v>
      </x:c>
      <x:c r="B61" s="23" t="str">
        <x:v>Commodity / unspecified</x:v>
      </x:c>
      <x:c r="C61" s="23" t="str">
        <x:v>Allowance</x:v>
      </x:c>
      <x:c r="D61" s="24" t="n">
        <x:v>1.8</x:v>
      </x:c>
      <x:c r="E61" s="24" t="n">
        <x:v>0.7</x:v>
      </x:c>
      <x:c r="F61" s="23" t="str">
        <x:v>Estimate</x:v>
      </x:c>
      <x:c r="G61" s="28" t="str"/>
      <x:c r="H61" s="28" t="str">
        <x:v>Commodity ceramic capacitor allowance</x:v>
      </x:c>
    </x:row>
    <x:row r="62" ht="52.79999923706055" hidden="0" customHeight="1">
      <x:c r="A62" s="23" t="str">
        <x:v>4.7u</x:v>
      </x:c>
      <x:c r="B62" s="23" t="str">
        <x:v>Commodity / unspecified</x:v>
      </x:c>
      <x:c r="C62" s="23" t="str">
        <x:v>Allowance</x:v>
      </x:c>
      <x:c r="D62" s="24" t="n">
        <x:v>1.8</x:v>
      </x:c>
      <x:c r="E62" s="24" t="n">
        <x:v>0.7</x:v>
      </x:c>
      <x:c r="F62" s="23" t="str">
        <x:v>Estimate</x:v>
      </x:c>
      <x:c r="G62" s="28" t="str"/>
      <x:c r="H62" s="28" t="str">
        <x:v>Commodity ceramic capacitor allowance</x:v>
      </x:c>
    </x:row>
    <x:row r="63" ht="52.79999923706055" hidden="0" customHeight="1">
      <x:c r="A63" s="23" t="str">
        <x:v>4.7u 10V</x:v>
      </x:c>
      <x:c r="B63" s="23" t="str">
        <x:v>Commodity / unspecified</x:v>
      </x:c>
      <x:c r="C63" s="23" t="str">
        <x:v>Allowance</x:v>
      </x:c>
      <x:c r="D63" s="24" t="n">
        <x:v>1.8</x:v>
      </x:c>
      <x:c r="E63" s="24" t="n">
        <x:v>0.7</x:v>
      </x:c>
      <x:c r="F63" s="23" t="str">
        <x:v>Estimate</x:v>
      </x:c>
      <x:c r="G63" s="28" t="str"/>
      <x:c r="H63" s="28" t="str">
        <x:v>Commodity ceramic capacitor allowance</x:v>
      </x:c>
    </x:row>
    <x:row r="64" ht="52.79999923706055" hidden="0" customHeight="1">
      <x:c r="A64" s="23" t="str">
        <x:v>41.2k 1%</x:v>
      </x:c>
      <x:c r="B64" s="23" t="str">
        <x:v>Commodity / unspecified</x:v>
      </x:c>
      <x:c r="C64" s="23" t="str">
        <x:v>Allowance</x:v>
      </x:c>
      <x:c r="D64" s="24" t="n">
        <x:v>1.2</x:v>
      </x:c>
      <x:c r="E64" s="24" t="n">
        <x:v>0.45</x:v>
      </x:c>
      <x:c r="F64" s="23" t="str">
        <x:v>Estimate</x:v>
      </x:c>
      <x:c r="G64" s="28" t="str"/>
      <x:c r="H64" s="28" t="str">
        <x:v>Commodity chip resistor allowance</x:v>
      </x:c>
    </x:row>
    <x:row r="65" ht="66" hidden="0" customHeight="1">
      <x:c r="A65" s="23" t="str">
        <x:v>43650-0200</x:v>
      </x:c>
      <x:c r="B65" s="23" t="str">
        <x:v>Molex</x:v>
      </x:c>
      <x:c r="C65" s="23" t="str">
        <x:v>Allowance</x:v>
      </x:c>
      <x:c r="D65" s="24" t="n">
        <x:v>55</x:v>
      </x:c>
      <x:c r="E65" s="24" t="n">
        <x:v>38</x:v>
      </x:c>
      <x:c r="F65" s="23" t="str">
        <x:v>Estimate</x:v>
      </x:c>
      <x:c r="G65" s="28" t="str"/>
      <x:c r="H65" s="28" t="str">
        <x:v>Low-volume distributor-category estimate</x:v>
      </x:c>
    </x:row>
    <x:row r="66" ht="52.79999923706055" hidden="0" customHeight="1">
      <x:c r="A66" s="23" t="str">
        <x:v>45.3k 1%</x:v>
      </x:c>
      <x:c r="B66" s="23" t="str">
        <x:v>Commodity / unspecified</x:v>
      </x:c>
      <x:c r="C66" s="23" t="str">
        <x:v>Allowance</x:v>
      </x:c>
      <x:c r="D66" s="24" t="n">
        <x:v>1.2</x:v>
      </x:c>
      <x:c r="E66" s="24" t="n">
        <x:v>0.45</x:v>
      </x:c>
      <x:c r="F66" s="23" t="str">
        <x:v>Estimate</x:v>
      </x:c>
      <x:c r="G66" s="28" t="str"/>
      <x:c r="H66" s="28" t="str">
        <x:v>Commodity chip resistor allowance</x:v>
      </x:c>
    </x:row>
    <x:row r="67" ht="52.79999923706055" hidden="0" customHeight="1">
      <x:c r="A67" s="23" t="str">
        <x:v>453k 1%</x:v>
      </x:c>
      <x:c r="B67" s="23" t="str">
        <x:v>Commodity / unspecified</x:v>
      </x:c>
      <x:c r="C67" s="23" t="str">
        <x:v>Allowance</x:v>
      </x:c>
      <x:c r="D67" s="24" t="n">
        <x:v>1.2</x:v>
      </x:c>
      <x:c r="E67" s="24" t="n">
        <x:v>0.45</x:v>
      </x:c>
      <x:c r="F67" s="23" t="str">
        <x:v>Estimate</x:v>
      </x:c>
      <x:c r="G67" s="28" t="str"/>
      <x:c r="H67" s="28" t="str">
        <x:v>Commodity chip resistor allowance</x:v>
      </x:c>
    </x:row>
    <x:row r="68" ht="52.79999923706055" hidden="0" customHeight="1">
      <x:c r="A68" s="23" t="str">
        <x:v>47</x:v>
      </x:c>
      <x:c r="B68" s="23" t="str">
        <x:v>Commodity / unspecified</x:v>
      </x:c>
      <x:c r="C68" s="23" t="str">
        <x:v>Allowance</x:v>
      </x:c>
      <x:c r="D68" s="24" t="n">
        <x:v>1.2</x:v>
      </x:c>
      <x:c r="E68" s="24" t="n">
        <x:v>0.45</x:v>
      </x:c>
      <x:c r="F68" s="23" t="str">
        <x:v>Estimate</x:v>
      </x:c>
      <x:c r="G68" s="28" t="str"/>
      <x:c r="H68" s="28" t="str">
        <x:v>Commodity chip resistor allowance</x:v>
      </x:c>
    </x:row>
    <x:row r="69" ht="52.79999923706055" hidden="0" customHeight="1">
      <x:c r="A69" s="23" t="str">
        <x:v>470p C0G</x:v>
      </x:c>
      <x:c r="B69" s="23" t="str">
        <x:v>Commodity / unspecified</x:v>
      </x:c>
      <x:c r="C69" s="23" t="str">
        <x:v>Allowance</x:v>
      </x:c>
      <x:c r="D69" s="24" t="n">
        <x:v>3.5</x:v>
      </x:c>
      <x:c r="E69" s="24" t="n">
        <x:v>1.5</x:v>
      </x:c>
      <x:c r="F69" s="23" t="str">
        <x:v>Estimate</x:v>
      </x:c>
      <x:c r="G69" s="28" t="str"/>
      <x:c r="H69" s="28" t="str">
        <x:v>C0G precision capacitor allowance</x:v>
      </x:c>
    </x:row>
    <x:row r="70" ht="52.79999923706055" hidden="0" customHeight="1">
      <x:c r="A70" s="23" t="str">
        <x:v>47n</x:v>
      </x:c>
      <x:c r="B70" s="23" t="str">
        <x:v>Commodity / unspecified</x:v>
      </x:c>
      <x:c r="C70" s="23" t="str">
        <x:v>Allowance</x:v>
      </x:c>
      <x:c r="D70" s="24" t="n">
        <x:v>1.8</x:v>
      </x:c>
      <x:c r="E70" s="24" t="n">
        <x:v>0.7</x:v>
      </x:c>
      <x:c r="F70" s="23" t="str">
        <x:v>Estimate</x:v>
      </x:c>
      <x:c r="G70" s="28" t="str"/>
      <x:c r="H70" s="28" t="str">
        <x:v>Commodity ceramic capacitor allowance</x:v>
      </x:c>
    </x:row>
    <x:row r="71" ht="52.79999923706055" hidden="0" customHeight="1">
      <x:c r="A71" s="23" t="str">
        <x:v>47n 100V</x:v>
      </x:c>
      <x:c r="B71" s="23" t="str">
        <x:v>Commodity / unspecified</x:v>
      </x:c>
      <x:c r="C71" s="23" t="str">
        <x:v>Allowance</x:v>
      </x:c>
      <x:c r="D71" s="24" t="n">
        <x:v>8</x:v>
      </x:c>
      <x:c r="E71" s="24" t="n">
        <x:v>4</x:v>
      </x:c>
      <x:c r="F71" s="23" t="str">
        <x:v>Estimate</x:v>
      </x:c>
      <x:c r="G71" s="28" t="str"/>
      <x:c r="H71" s="28" t="str">
        <x:v>High-voltage ceramic allowance</x:v>
      </x:c>
    </x:row>
    <x:row r="72" ht="52.79999923706055" hidden="0" customHeight="1">
      <x:c r="A72" s="23" t="str">
        <x:v>47p</x:v>
      </x:c>
      <x:c r="B72" s="23" t="str">
        <x:v>Commodity / unspecified</x:v>
      </x:c>
      <x:c r="C72" s="23" t="str">
        <x:v>Allowance</x:v>
      </x:c>
      <x:c r="D72" s="24" t="n">
        <x:v>1.8</x:v>
      </x:c>
      <x:c r="E72" s="24" t="n">
        <x:v>0.7</x:v>
      </x:c>
      <x:c r="F72" s="23" t="str">
        <x:v>Estimate</x:v>
      </x:c>
      <x:c r="G72" s="28" t="str"/>
      <x:c r="H72" s="28" t="str">
        <x:v>Commodity ceramic capacitor allowance</x:v>
      </x:c>
    </x:row>
    <x:row r="73" ht="52.79999923706055" hidden="0" customHeight="1">
      <x:c r="A73" s="23" t="str">
        <x:v>47p C0G</x:v>
      </x:c>
      <x:c r="B73" s="23" t="str">
        <x:v>Commodity / unspecified</x:v>
      </x:c>
      <x:c r="C73" s="23" t="str">
        <x:v>Allowance</x:v>
      </x:c>
      <x:c r="D73" s="24" t="n">
        <x:v>3.5</x:v>
      </x:c>
      <x:c r="E73" s="24" t="n">
        <x:v>1.5</x:v>
      </x:c>
      <x:c r="F73" s="23" t="str">
        <x:v>Estimate</x:v>
      </x:c>
      <x:c r="G73" s="28" t="str"/>
      <x:c r="H73" s="28" t="str">
        <x:v>C0G precision capacitor allowance</x:v>
      </x:c>
    </x:row>
    <x:row r="74" ht="52.79999923706055" hidden="0" customHeight="1">
      <x:c r="A74" s="23" t="str">
        <x:v>5.1k</x:v>
      </x:c>
      <x:c r="B74" s="23" t="str">
        <x:v>Commodity / unspecified</x:v>
      </x:c>
      <x:c r="C74" s="23" t="str">
        <x:v>Allowance</x:v>
      </x:c>
      <x:c r="D74" s="24" t="n">
        <x:v>1.2</x:v>
      </x:c>
      <x:c r="E74" s="24" t="n">
        <x:v>0.45</x:v>
      </x:c>
      <x:c r="F74" s="23" t="str">
        <x:v>Estimate</x:v>
      </x:c>
      <x:c r="G74" s="28" t="str"/>
      <x:c r="H74" s="28" t="str">
        <x:v>Commodity chip resistor allowance</x:v>
      </x:c>
    </x:row>
    <x:row r="75" ht="52.79999923706055" hidden="0" customHeight="1">
      <x:c r="A75" s="23" t="str">
        <x:v>5.6k</x:v>
      </x:c>
      <x:c r="B75" s="23" t="str">
        <x:v>Commodity / unspecified</x:v>
      </x:c>
      <x:c r="C75" s="23" t="str">
        <x:v>Allowance</x:v>
      </x:c>
      <x:c r="D75" s="24" t="n">
        <x:v>1.2</x:v>
      </x:c>
      <x:c r="E75" s="24" t="n">
        <x:v>0.45</x:v>
      </x:c>
      <x:c r="F75" s="23" t="str">
        <x:v>Estimate</x:v>
      </x:c>
      <x:c r="G75" s="28" t="str"/>
      <x:c r="H75" s="28" t="str">
        <x:v>Commodity chip resistor allowance</x:v>
      </x:c>
    </x:row>
    <x:row r="76" ht="52.79999923706055" hidden="0" customHeight="1">
      <x:c r="A76" s="23" t="str">
        <x:v>56k</x:v>
      </x:c>
      <x:c r="B76" s="23" t="str">
        <x:v>Commodity / unspecified</x:v>
      </x:c>
      <x:c r="C76" s="23" t="str">
        <x:v>Allowance</x:v>
      </x:c>
      <x:c r="D76" s="24" t="n">
        <x:v>1.2</x:v>
      </x:c>
      <x:c r="E76" s="24" t="n">
        <x:v>0.45</x:v>
      </x:c>
      <x:c r="F76" s="23" t="str">
        <x:v>Estimate</x:v>
      </x:c>
      <x:c r="G76" s="28" t="str"/>
      <x:c r="H76" s="28" t="str">
        <x:v>Commodity chip resistor allowance</x:v>
      </x:c>
    </x:row>
    <x:row r="77" ht="39.599998474121094" hidden="0" customHeight="1">
      <x:c r="A77" s="23" t="str">
        <x:v>600R@100MHz</x:v>
      </x:c>
      <x:c r="B77" s="23" t="str">
        <x:v>Commodity / unspecified</x:v>
      </x:c>
      <x:c r="C77" s="23" t="str">
        <x:v>Allowance</x:v>
      </x:c>
      <x:c r="D77" s="24" t="n">
        <x:v>35</x:v>
      </x:c>
      <x:c r="E77" s="24" t="n">
        <x:v>24</x:v>
      </x:c>
      <x:c r="F77" s="23" t="str">
        <x:v>Estimate</x:v>
      </x:c>
      <x:c r="G77" s="28" t="str"/>
      <x:c r="H77" s="28" t="str">
        <x:v>Power/RF inductor allowance</x:v>
      </x:c>
    </x:row>
    <x:row r="78" ht="52.79999923706055" hidden="0" customHeight="1">
      <x:c r="A78" s="23" t="str">
        <x:v>68k</x:v>
      </x:c>
      <x:c r="B78" s="23" t="str">
        <x:v>Commodity / unspecified</x:v>
      </x:c>
      <x:c r="C78" s="23" t="str">
        <x:v>Allowance</x:v>
      </x:c>
      <x:c r="D78" s="24" t="n">
        <x:v>1.2</x:v>
      </x:c>
      <x:c r="E78" s="24" t="n">
        <x:v>0.45</x:v>
      </x:c>
      <x:c r="F78" s="23" t="str">
        <x:v>Estimate</x:v>
      </x:c>
      <x:c r="G78" s="28" t="str"/>
      <x:c r="H78" s="28" t="str">
        <x:v>Commodity chip resistor allowance</x:v>
      </x:c>
    </x:row>
    <x:row r="79" ht="52.79999923706055" hidden="0" customHeight="1">
      <x:c r="A79" s="23" t="str">
        <x:v>7.5p C0G</x:v>
      </x:c>
      <x:c r="B79" s="23" t="str">
        <x:v>Commodity / unspecified</x:v>
      </x:c>
      <x:c r="C79" s="23" t="str">
        <x:v>Allowance</x:v>
      </x:c>
      <x:c r="D79" s="24" t="n">
        <x:v>3.5</x:v>
      </x:c>
      <x:c r="E79" s="24" t="n">
        <x:v>1.5</x:v>
      </x:c>
      <x:c r="F79" s="23" t="str">
        <x:v>Estimate</x:v>
      </x:c>
      <x:c r="G79" s="28" t="str"/>
      <x:c r="H79" s="28" t="str">
        <x:v>C0G precision capacitor allowance</x:v>
      </x:c>
    </x:row>
    <x:row r="80" ht="66" hidden="0" customHeight="1">
      <x:c r="A80" s="23" t="str">
        <x:v>ABM8-272-T3</x:v>
      </x:c>
      <x:c r="B80" s="23" t="str">
        <x:v>Abracon</x:v>
      </x:c>
      <x:c r="C80" s="23" t="str">
        <x:v>Allowance</x:v>
      </x:c>
      <x:c r="D80" s="24" t="n">
        <x:v>55</x:v>
      </x:c>
      <x:c r="E80" s="24" t="n">
        <x:v>38</x:v>
      </x:c>
      <x:c r="F80" s="23" t="str">
        <x:v>Estimate</x:v>
      </x:c>
      <x:c r="G80" s="28" t="str"/>
      <x:c r="H80" s="28" t="str">
        <x:v>Low-volume distributor-category estimate</x:v>
      </x:c>
    </x:row>
    <x:row r="81" ht="66" hidden="0" customHeight="1">
      <x:c r="A81" s="23" t="str">
        <x:v>ABM8G-40.000MHZ-10-D2Y-T</x:v>
      </x:c>
      <x:c r="B81" s="23" t="str">
        <x:v>Abracon</x:v>
      </x:c>
      <x:c r="C81" s="23" t="str">
        <x:v>Allowance</x:v>
      </x:c>
      <x:c r="D81" s="24" t="n">
        <x:v>65</x:v>
      </x:c>
      <x:c r="E81" s="24" t="n">
        <x:v>45</x:v>
      </x:c>
      <x:c r="F81" s="23" t="str">
        <x:v>Estimate</x:v>
      </x:c>
      <x:c r="G81" s="28" t="str"/>
      <x:c r="H81" s="28" t="str">
        <x:v>Low-volume distributor-category estimate</x:v>
      </x:c>
    </x:row>
    <x:row r="82" ht="66" hidden="0" customHeight="1">
      <x:c r="A82" s="23" t="str">
        <x:v>ABM8G-8.000MHZ-18-D2Y-T</x:v>
      </x:c>
      <x:c r="B82" s="23" t="str">
        <x:v>Abracon</x:v>
      </x:c>
      <x:c r="C82" s="23" t="str">
        <x:v>Allowance</x:v>
      </x:c>
      <x:c r="D82" s="24" t="n">
        <x:v>55</x:v>
      </x:c>
      <x:c r="E82" s="24" t="n">
        <x:v>38</x:v>
      </x:c>
      <x:c r="F82" s="23" t="str">
        <x:v>Estimate</x:v>
      </x:c>
      <x:c r="G82" s="28" t="str"/>
      <x:c r="H82" s="28" t="str">
        <x:v>Low-volume distributor-category estimate</x:v>
      </x:c>
    </x:row>
    <x:row r="83" ht="66" hidden="0" customHeight="1">
      <x:c r="A83" s="23" t="str">
        <x:v>ACT45B-110-2P-TL003</x:v>
      </x:c>
      <x:c r="B83" s="23" t="str">
        <x:v>TDK</x:v>
      </x:c>
      <x:c r="C83" s="23" t="str">
        <x:v>Allowance</x:v>
      </x:c>
      <x:c r="D83" s="24" t="n">
        <x:v>90</x:v>
      </x:c>
      <x:c r="E83" s="24" t="n">
        <x:v>65</x:v>
      </x:c>
      <x:c r="F83" s="23" t="str">
        <x:v>Estimate</x:v>
      </x:c>
      <x:c r="G83" s="28" t="str"/>
      <x:c r="H83" s="28" t="str">
        <x:v>Low-volume distributor-category estimate</x:v>
      </x:c>
    </x:row>
    <x:row r="84" ht="66" hidden="0" customHeight="1">
      <x:c r="A84" s="23" t="str">
        <x:v>AOTA-B201610S3R3-101-T</x:v>
      </x:c>
      <x:c r="B84" s="23" t="str">
        <x:v>Abracon</x:v>
      </x:c>
      <x:c r="C84" s="23" t="str">
        <x:v>Allowance</x:v>
      </x:c>
      <x:c r="D84" s="24" t="n">
        <x:v>75</x:v>
      </x:c>
      <x:c r="E84" s="24" t="n">
        <x:v>52</x:v>
      </x:c>
      <x:c r="F84" s="23" t="str">
        <x:v>Estimate</x:v>
      </x:c>
      <x:c r="G84" s="28" t="str"/>
      <x:c r="H84" s="28" t="str">
        <x:v>Low-volume distributor-category estimate</x:v>
      </x:c>
    </x:row>
    <x:row r="85" ht="66" hidden="0" customHeight="1">
      <x:c r="A85" s="23" t="str">
        <x:v>AP2112K-3.3TRG1</x:v>
      </x:c>
      <x:c r="B85" s="23" t="str">
        <x:v>Diodes Inc.</x:v>
      </x:c>
      <x:c r="C85" s="23" t="str">
        <x:v>Allowance</x:v>
      </x:c>
      <x:c r="D85" s="24" t="n">
        <x:v>22</x:v>
      </x:c>
      <x:c r="E85" s="24" t="n">
        <x:v>12</x:v>
      </x:c>
      <x:c r="F85" s="23" t="str">
        <x:v>Estimate</x:v>
      </x:c>
      <x:c r="G85" s="28" t="str"/>
      <x:c r="H85" s="28" t="str">
        <x:v>Low-volume distributor-category estimate</x:v>
      </x:c>
    </x:row>
    <x:row r="86" ht="66" hidden="0" customHeight="1">
      <x:c r="A86" s="23" t="str">
        <x:v>B39921B3588U410</x:v>
      </x:c>
      <x:c r="B86" s="23" t="str">
        <x:v>TDK EPCOS</x:v>
      </x:c>
      <x:c r="C86" s="23" t="str">
        <x:v>Allowance</x:v>
      </x:c>
      <x:c r="D86" s="24" t="n">
        <x:v>95</x:v>
      </x:c>
      <x:c r="E86" s="24" t="n">
        <x:v>72</x:v>
      </x:c>
      <x:c r="F86" s="23" t="str">
        <x:v>Estimate</x:v>
      </x:c>
      <x:c r="G86" s="28" t="str"/>
      <x:c r="H86" s="28" t="str">
        <x:v>Low-volume distributor-category estimate</x:v>
      </x:c>
    </x:row>
    <x:row r="87" ht="66" hidden="0" customHeight="1">
      <x:c r="A87" s="23" t="str">
        <x:v>BLM15HG102SN1D</x:v>
      </x:c>
      <x:c r="B87" s="23" t="str">
        <x:v>Murata</x:v>
      </x:c>
      <x:c r="C87" s="23" t="str">
        <x:v>Allowance</x:v>
      </x:c>
      <x:c r="D87" s="24" t="n">
        <x:v>7</x:v>
      </x:c>
      <x:c r="E87" s="24" t="n">
        <x:v>4</x:v>
      </x:c>
      <x:c r="F87" s="23" t="str">
        <x:v>Estimate</x:v>
      </x:c>
      <x:c r="G87" s="28" t="str"/>
      <x:c r="H87" s="28" t="str">
        <x:v>Low-volume distributor-category estimate</x:v>
      </x:c>
    </x:row>
    <x:row r="88" ht="66" hidden="0" customHeight="1">
      <x:c r="A88" s="23" t="str">
        <x:v>BLM18AG601SN1D</x:v>
      </x:c>
      <x:c r="B88" s="23" t="str">
        <x:v>Murata</x:v>
      </x:c>
      <x:c r="C88" s="23" t="str">
        <x:v>Allowance</x:v>
      </x:c>
      <x:c r="D88" s="24" t="n">
        <x:v>6</x:v>
      </x:c>
      <x:c r="E88" s="24" t="n">
        <x:v>3</x:v>
      </x:c>
      <x:c r="F88" s="23" t="str">
        <x:v>Estimate</x:v>
      </x:c>
      <x:c r="G88" s="28" t="str"/>
      <x:c r="H88" s="28" t="str">
        <x:v>Low-volume distributor-category estimate</x:v>
      </x:c>
    </x:row>
    <x:row r="89" ht="145.1999969482422" hidden="0" customHeight="1">
      <x:c r="A89" s="23" t="str">
        <x:v>CC1121RHBR</x:v>
      </x:c>
      <x:c r="B89" s="23" t="str">
        <x:v>Texas Instruments</x:v>
      </x:c>
      <x:c r="C89" s="23" t="str">
        <x:v>Qty 1 / 10</x:v>
      </x:c>
      <x:c r="D89" s="24" t="n">
        <x:v>413.72</x:v>
      </x:c>
      <x:c r="E89" s="24" t="n">
        <x:v>355.95</x:v>
      </x:c>
      <x:c r="F89" s="23" t="str">
        <x:v>Live/official</x:v>
      </x:c>
      <x:c r="G89" s="28" t="str">
        <x:v>https://www.mouser.in/en/c/semiconductors/wireless-rf-integrated-circuits/rf-transceiver/?series=CC1121</x:v>
      </x:c>
      <x:c r="H89" s="28" t="str">
        <x:v>Sub-GHz transceiver.</x:v>
      </x:c>
    </x:row>
    <x:row r="90" ht="105.5999984741211" hidden="0" customHeight="1">
      <x:c r="A90" s="23" t="str">
        <x:v>CC1190RGVR</x:v>
      </x:c>
      <x:c r="B90" s="23" t="str">
        <x:v>Texas Instruments</x:v>
      </x:c>
      <x:c r="C90" s="23" t="str">
        <x:v>Qty 1 / 10</x:v>
      </x:c>
      <x:c r="D90" s="24" t="n">
        <x:v>300.96</x:v>
      </x:c>
      <x:c r="E90" s="24" t="n">
        <x:v>225.5</x:v>
      </x:c>
      <x:c r="F90" s="23" t="str">
        <x:v>Live/official</x:v>
      </x:c>
      <x:c r="G90" s="28" t="str">
        <x:v>https://www.mouser.in/ProductDetail/Texas-Instruments/CC1190RGVR</x:v>
      </x:c>
      <x:c r="H90" s="28" t="str">
        <x:v>850-950 MHz RF front end.</x:v>
      </x:c>
    </x:row>
    <x:row r="91" ht="92.4000015258789" hidden="0" customHeight="1">
      <x:c r="A91" s="23" t="str">
        <x:v>CSS4J-4026R-L500F</x:v>
      </x:c>
      <x:c r="B91" s="23" t="str">
        <x:v>Bourns</x:v>
      </x:c>
      <x:c r="C91" s="23" t="str">
        <x:v>Qty 24 / 240</x:v>
      </x:c>
      <x:c r="D91" s="24" t="n">
        <x:v>110.5</x:v>
      </x:c>
      <x:c r="E91" s="24" t="n">
        <x:v>82.65</x:v>
      </x:c>
      <x:c r="F91" s="23" t="str">
        <x:v>Live/official</x:v>
      </x:c>
      <x:c r="G91" s="28" t="str">
        <x:v>https://www.mouser.in/ProductDetail/Bourns/CSS4J-4026R-L500F</x:v>
      </x:c>
      <x:c r="H91" s="28" t="str">
        <x:v>0.5 mOhm, 5 W, 1% Kelvin shunt; 1.8 W at 60 A.</x:v>
      </x:c>
    </x:row>
    <x:row r="92" ht="26.399999618530273" hidden="0" customHeight="1">
      <x:c r="A92" s="23" t="str">
        <x:v>DNP</x:v>
      </x:c>
      <x:c r="B92" s="23" t="str">
        <x:v>Commodity / unspecified</x:v>
      </x:c>
      <x:c r="C92" s="23" t="str">
        <x:v>Allowance</x:v>
      </x:c>
      <x:c r="D92" s="24" t="n">
        <x:v>0</x:v>
      </x:c>
      <x:c r="E92" s="24" t="n">
        <x:v>0</x:v>
      </x:c>
      <x:c r="F92" s="23" t="str">
        <x:v>DNP</x:v>
      </x:c>
      <x:c r="G92" s="28" t="str"/>
      <x:c r="H92" s="28" t="str">
        <x:v>Not populated</x:v>
      </x:c>
    </x:row>
    <x:row r="93" ht="211.1999969482422" hidden="0" customHeight="1">
      <x:c r="A93" s="23" t="str">
        <x:v>DRV8353SRTAR</x:v>
      </x:c>
      <x:c r="B93" s="23" t="str">
        <x:v>Texas Instruments</x:v>
      </x:c>
      <x:c r="C93" s="23" t="str">
        <x:v>Qty 6 / 60</x:v>
      </x:c>
      <x:c r="D93" s="24" t="n">
        <x:v>479.88</x:v>
      </x:c>
      <x:c r="E93" s="24" t="n">
        <x:v>336.38</x:v>
      </x:c>
      <x:c r="F93" s="23" t="str">
        <x:v>Live/official</x:v>
      </x:c>
      <x:c r="G93" s="28" t="str">
        <x:v>https://www.mouser.in/en/c/semiconductors/integrated-circuits-ics/power-management-ics/motor-motion-ignition-controllers-drivers/?series=DRV8353</x:v>
      </x:c>
      <x:c r="H93" s="28" t="str">
        <x:v>SPI three-phase smart gate driver; no cost-driven substitute accepted.</x:v>
      </x:c>
    </x:row>
    <x:row r="94" ht="26.399999618530273" hidden="0" customHeight="1">
      <x:c r="A94" s="23" t="str">
        <x:v>ESC_SWD</x:v>
      </x:c>
      <x:c r="B94" s="23" t="str">
        <x:v>Commodity / unspecified</x:v>
      </x:c>
      <x:c r="C94" s="23" t="str">
        <x:v>Allowance</x:v>
      </x:c>
      <x:c r="D94" s="24" t="n">
        <x:v>80</x:v>
      </x:c>
      <x:c r="E94" s="24" t="n">
        <x:v>55</x:v>
      </x:c>
      <x:c r="F94" s="23" t="str">
        <x:v>Estimate</x:v>
      </x:c>
      <x:c r="G94" s="28" t="str"/>
      <x:c r="H94" s="28" t="str">
        <x:v>Connector allowance</x:v>
      </x:c>
    </x:row>
    <x:row r="95" ht="66" hidden="0" customHeight="1">
      <x:c r="A95" s="23" t="str">
        <x:v>ESD9B3.3ST5G</x:v>
      </x:c>
      <x:c r="B95" s="23" t="str">
        <x:v>onsemi</x:v>
      </x:c>
      <x:c r="C95" s="23" t="str">
        <x:v>Allowance</x:v>
      </x:c>
      <x:c r="D95" s="24" t="n">
        <x:v>12</x:v>
      </x:c>
      <x:c r="E95" s="24" t="n">
        <x:v>7</x:v>
      </x:c>
      <x:c r="F95" s="23" t="str">
        <x:v>Estimate</x:v>
      </x:c>
      <x:c r="G95" s="28" t="str"/>
      <x:c r="H95" s="28" t="str">
        <x:v>Low-volume distributor-category estimate</x:v>
      </x:c>
    </x:row>
    <x:row r="96" ht="26.399999618530273" hidden="0" customHeight="1">
      <x:c r="A96" s="23" t="str">
        <x:v>GREEN</x:v>
      </x:c>
      <x:c r="B96" s="23" t="str">
        <x:v>Commodity / unspecified</x:v>
      </x:c>
      <x:c r="C96" s="23" t="str">
        <x:v>Allowance</x:v>
      </x:c>
      <x:c r="D96" s="24" t="n">
        <x:v>7</x:v>
      </x:c>
      <x:c r="E96" s="24" t="n">
        <x:v>4</x:v>
      </x:c>
      <x:c r="F96" s="23" t="str">
        <x:v>Estimate</x:v>
      </x:c>
      <x:c r="G96" s="28" t="str"/>
      <x:c r="H96" s="28" t="str">
        <x:v>Indicator allowance</x:v>
      </x:c>
    </x:row>
    <x:row r="97" ht="105.5999984741211" hidden="0" customHeight="1">
      <x:c r="A97" s="23" t="str">
        <x:v>ICM-42688-P</x:v>
      </x:c>
      <x:c r="B97" s="23" t="str">
        <x:v>TDK InvenSense</x:v>
      </x:c>
      <x:c r="C97" s="23" t="str">
        <x:v>Qty 1 / 10</x:v>
      </x:c>
      <x:c r="D97" s="24" t="n">
        <x:v>526.47</x:v>
      </x:c>
      <x:c r="E97" s="24" t="n">
        <x:v>443.54</x:v>
      </x:c>
      <x:c r="F97" s="23" t="str">
        <x:v>Live/official</x:v>
      </x:c>
      <x:c r="G97" s="28" t="str">
        <x:v>https://www.mouser.in/ProductDetail/TDK-InvenSense/ICM-42688-P</x:v>
      </x:c>
      <x:c r="H97" s="28" t="str">
        <x:v>Primary IMU; distributor showed backorder.</x:v>
      </x:c>
    </x:row>
    <x:row r="98" ht="132" hidden="0" customHeight="1">
      <x:c r="A98" s="23" t="str">
        <x:v>INA296A2IDR</x:v>
      </x:c>
      <x:c r="B98" s="23" t="str">
        <x:v>Texas Instruments</x:v>
      </x:c>
      <x:c r="C98" s="23" t="str">
        <x:v>Qty 6 / 60</x:v>
      </x:c>
      <x:c r="D98" s="24" t="n">
        <x:v>486.03</x:v>
      </x:c>
      <x:c r="E98" s="24" t="n">
        <x:v>311.74</x:v>
      </x:c>
      <x:c r="F98" s="23" t="str">
        <x:v>Live/official</x:v>
      </x:c>
      <x:c r="G98" s="28" t="str">
        <x:v>https://www.mouser.in/c/semiconductors/integrated-circuits-ics/amplifier-ics/?series=INA296A</x:v>
      </x:c>
      <x:c r="H98" s="28" t="str">
        <x:v>110 V common-mode, 1.1 MHz bidirectional bus-current amplifier.</x:v>
      </x:c>
    </x:row>
    <x:row r="99" ht="132" hidden="0" customHeight="1">
      <x:c r="A99" s="23" t="str">
        <x:v>IPTC014N10NM5ATMA1</x:v>
      </x:c>
      <x:c r="B99" s="23" t="str">
        <x:v>Infineon</x:v>
      </x:c>
      <x:c r="C99" s="23" t="str">
        <x:v>Qty 36 / 360</x:v>
      </x:c>
      <x:c r="D99" s="24" t="n">
        <x:v>385.77</x:v>
      </x:c>
      <x:c r="E99" s="24" t="n">
        <x:v>278.61</x:v>
      </x:c>
      <x:c r="F99" s="23" t="str">
        <x:v>Live/official</x:v>
      </x:c>
      <x:c r="G99" s="28" t="str">
        <x:v>https://www.mouser.in/ProductDetail/Infineon-Technologies/IPTC014N10NM5ATMA1</x:v>
      </x:c>
      <x:c r="H99" s="28" t="str">
        <x:v>Active 100 V TOLT MOSFET; quantity-break price. Stock risk: distributor showed zero on hand.</x:v>
      </x:c>
    </x:row>
    <x:row r="100" ht="118.80000305175781" hidden="0" customHeight="1">
      <x:c r="A100" s="23" t="str">
        <x:v>ISO6731FDWR</x:v>
      </x:c>
      <x:c r="B100" s="23" t="str">
        <x:v>Texas Instruments</x:v>
      </x:c>
      <x:c r="C100" s="23" t="str">
        <x:v>Qty 6 / 60</x:v>
      </x:c>
      <x:c r="D100" s="24" t="n">
        <x:v>253.29</x:v>
      </x:c>
      <x:c r="E100" s="24" t="n">
        <x:v>172.2</x:v>
      </x:c>
      <x:c r="F100" s="23" t="str">
        <x:v>Live/official</x:v>
      </x:c>
      <x:c r="G100" s="28" t="str">
        <x:v>https://www.digikey.in/en/products/detail/texas-instruments/ISO6731FDWR/14004438</x:v>
      </x:c>
      <x:c r="H100" s="28" t="str">
        <x:v>Fail-low 2/1-channel digital isolator.</x:v>
      </x:c>
    </x:row>
    <x:row r="101" ht="66" hidden="0" customHeight="1">
      <x:c r="A101" s="23" t="str">
        <x:v>LFD21868MMF1D386</x:v>
      </x:c>
      <x:c r="B101" s="23" t="str">
        <x:v>Murata</x:v>
      </x:c>
      <x:c r="C101" s="23" t="str">
        <x:v>Allowance</x:v>
      </x:c>
      <x:c r="D101" s="24" t="n">
        <x:v>85</x:v>
      </x:c>
      <x:c r="E101" s="24" t="n">
        <x:v>62</x:v>
      </x:c>
      <x:c r="F101" s="23" t="str">
        <x:v>Estimate</x:v>
      </x:c>
      <x:c r="G101" s="28" t="str"/>
      <x:c r="H101" s="28" t="str">
        <x:v>Low-volume distributor-category estimate</x:v>
      </x:c>
    </x:row>
    <x:row r="102" ht="79.19999694824219" hidden="0" customHeight="1">
      <x:c r="A102" s="23" t="str">
        <x:v>LG77LICMD</x:v>
      </x:c>
      <x:c r="B102" s="23" t="str">
        <x:v>Quectel</x:v>
      </x:c>
      <x:c r="C102" s="23" t="str">
        <x:v>Qty 1 / 10</x:v>
      </x:c>
      <x:c r="D102" s="24" t="n">
        <x:v>858.87</x:v>
      </x:c>
      <x:c r="E102" s="24" t="n">
        <x:v>745.67</x:v>
      </x:c>
      <x:c r="F102" s="23" t="str">
        <x:v>Live/official</x:v>
      </x:c>
      <x:c r="G102" s="28" t="str">
        <x:v>https://www.mouser.in/ProductDetail/Quectel/LG77LICMD</x:v>
      </x:c>
      <x:c r="H102" s="28" t="str">
        <x:v>GNSS module.</x:v>
      </x:c>
    </x:row>
    <x:row r="103" ht="105.5999984741211" hidden="0" customHeight="1">
      <x:c r="A103" s="23" t="str">
        <x:v>LM5164DDAR</x:v>
      </x:c>
      <x:c r="B103" s="23" t="str">
        <x:v>Texas Instruments</x:v>
      </x:c>
      <x:c r="C103" s="23" t="str">
        <x:v>Qty 2 / 20</x:v>
      </x:c>
      <x:c r="D103" s="24" t="n">
        <x:v>390.42</x:v>
      </x:c>
      <x:c r="E103" s="24" t="n">
        <x:v>295.38</x:v>
      </x:c>
      <x:c r="F103" s="23" t="str">
        <x:v>Live/official</x:v>
      </x:c>
      <x:c r="G103" s="28" t="str">
        <x:v>https://www.mouser.in/c/power/power-management-ics/?series=LM5164</x:v>
      </x:c>
      <x:c r="H103" s="28" t="str">
        <x:v>100 V, 1 A synchronous buck; two independent ESC rails.</x:v>
      </x:c>
    </x:row>
    <x:row r="104" ht="26.399999618530273" hidden="0" customHeight="1">
      <x:c r="A104" s="23" t="str">
        <x:v>LOCAL_SWD</x:v>
      </x:c>
      <x:c r="B104" s="23" t="str">
        <x:v>Commodity / unspecified</x:v>
      </x:c>
      <x:c r="C104" s="23" t="str">
        <x:v>Allowance</x:v>
      </x:c>
      <x:c r="D104" s="24" t="n">
        <x:v>80</x:v>
      </x:c>
      <x:c r="E104" s="24" t="n">
        <x:v>55</x:v>
      </x:c>
      <x:c r="F104" s="23" t="str">
        <x:v>Estimate</x:v>
      </x:c>
      <x:c r="G104" s="28" t="str"/>
      <x:c r="H104" s="28" t="str">
        <x:v>Connector allowance</x:v>
      </x:c>
    </x:row>
    <x:row r="105" ht="105.5999984741211" hidden="0" customHeight="1">
      <x:c r="A105" s="23" t="str">
        <x:v>LPS22DFTR</x:v>
      </x:c>
      <x:c r="B105" s="23" t="str">
        <x:v>STMicroelectronics</x:v>
      </x:c>
      <x:c r="C105" s="23" t="str">
        <x:v>Qty 1 / 10</x:v>
      </x:c>
      <x:c r="D105" s="24" t="n">
        <x:v>290.72</x:v>
      </x:c>
      <x:c r="E105" s="24" t="n">
        <x:v>233.88</x:v>
      </x:c>
      <x:c r="F105" s="23" t="str">
        <x:v>Live/official</x:v>
      </x:c>
      <x:c r="G105" s="28" t="str">
        <x:v>https://www.mouser.in/ProductDetail/STMicroelectronics/LPS22DFTR</x:v>
      </x:c>
      <x:c r="H105" s="28" t="str">
        <x:v>Precision barometer.</x:v>
      </x:c>
    </x:row>
    <x:row r="106" ht="66" hidden="0" customHeight="1">
      <x:c r="A106" s="23" t="str">
        <x:v>LQG15HS1N5S02D</x:v>
      </x:c>
      <x:c r="B106" s="23" t="str">
        <x:v>Murata</x:v>
      </x:c>
      <x:c r="C106" s="23" t="str">
        <x:v>Allowance</x:v>
      </x:c>
      <x:c r="D106" s="24" t="n">
        <x:v>9</x:v>
      </x:c>
      <x:c r="E106" s="24" t="n">
        <x:v>5</x:v>
      </x:c>
      <x:c r="F106" s="23" t="str">
        <x:v>Estimate</x:v>
      </x:c>
      <x:c r="G106" s="28" t="str"/>
      <x:c r="H106" s="28" t="str">
        <x:v>Low-volume distributor-category estimate</x:v>
      </x:c>
    </x:row>
    <x:row r="107" ht="66" hidden="0" customHeight="1">
      <x:c r="A107" s="23" t="str">
        <x:v>LQW15AN10NJ00D</x:v>
      </x:c>
      <x:c r="B107" s="23" t="str">
        <x:v>Murata</x:v>
      </x:c>
      <x:c r="C107" s="23" t="str">
        <x:v>Allowance</x:v>
      </x:c>
      <x:c r="D107" s="24" t="n">
        <x:v>12</x:v>
      </x:c>
      <x:c r="E107" s="24" t="n">
        <x:v>7</x:v>
      </x:c>
      <x:c r="F107" s="23" t="str">
        <x:v>Estimate</x:v>
      </x:c>
      <x:c r="G107" s="28" t="str"/>
      <x:c r="H107" s="28" t="str">
        <x:v>Low-volume distributor-category estimate</x:v>
      </x:c>
    </x:row>
    <x:row r="108" ht="66" hidden="0" customHeight="1">
      <x:c r="A108" s="23" t="str">
        <x:v>LQW15AN15NJ00D</x:v>
      </x:c>
      <x:c r="B108" s="23" t="str">
        <x:v>Murata</x:v>
      </x:c>
      <x:c r="C108" s="23" t="str">
        <x:v>Allowance</x:v>
      </x:c>
      <x:c r="D108" s="24" t="n">
        <x:v>12</x:v>
      </x:c>
      <x:c r="E108" s="24" t="n">
        <x:v>7</x:v>
      </x:c>
      <x:c r="F108" s="23" t="str">
        <x:v>Estimate</x:v>
      </x:c>
      <x:c r="G108" s="28" t="str"/>
      <x:c r="H108" s="28" t="str">
        <x:v>Low-volume distributor-category estimate</x:v>
      </x:c>
    </x:row>
    <x:row r="109" ht="66" hidden="0" customHeight="1">
      <x:c r="A109" s="23" t="str">
        <x:v>LQW15AN2N9C00D</x:v>
      </x:c>
      <x:c r="B109" s="23" t="str">
        <x:v>Murata</x:v>
      </x:c>
      <x:c r="C109" s="23" t="str">
        <x:v>Allowance</x:v>
      </x:c>
      <x:c r="D109" s="24" t="n">
        <x:v>12</x:v>
      </x:c>
      <x:c r="E109" s="24" t="n">
        <x:v>7</x:v>
      </x:c>
      <x:c r="F109" s="23" t="str">
        <x:v>Estimate</x:v>
      </x:c>
      <x:c r="G109" s="28" t="str"/>
      <x:c r="H109" s="28" t="str">
        <x:v>Low-volume distributor-category estimate</x:v>
      </x:c>
    </x:row>
    <x:row r="110" ht="66" hidden="0" customHeight="1">
      <x:c r="A110" s="23" t="str">
        <x:v>LQW15AN7N5G00D</x:v>
      </x:c>
      <x:c r="B110" s="23" t="str">
        <x:v>Murata</x:v>
      </x:c>
      <x:c r="C110" s="23" t="str">
        <x:v>Allowance</x:v>
      </x:c>
      <x:c r="D110" s="24" t="n">
        <x:v>12</x:v>
      </x:c>
      <x:c r="E110" s="24" t="n">
        <x:v>7</x:v>
      </x:c>
      <x:c r="F110" s="23" t="str">
        <x:v>Estimate</x:v>
      </x:c>
      <x:c r="G110" s="28" t="str"/>
      <x:c r="H110" s="28" t="str">
        <x:v>Low-volume distributor-category estimate</x:v>
      </x:c>
    </x:row>
    <x:row r="111" ht="66" hidden="0" customHeight="1">
      <x:c r="A111" s="23" t="str">
        <x:v>LQW15AN8N2G00D</x:v>
      </x:c>
      <x:c r="B111" s="23" t="str">
        <x:v>Murata</x:v>
      </x:c>
      <x:c r="C111" s="23" t="str">
        <x:v>Allowance</x:v>
      </x:c>
      <x:c r="D111" s="24" t="n">
        <x:v>12</x:v>
      </x:c>
      <x:c r="E111" s="24" t="n">
        <x:v>7</x:v>
      </x:c>
      <x:c r="F111" s="23" t="str">
        <x:v>Estimate</x:v>
      </x:c>
      <x:c r="G111" s="28" t="str"/>
      <x:c r="H111" s="28" t="str">
        <x:v>Low-volume distributor-category estimate</x:v>
      </x:c>
    </x:row>
    <x:row r="112" ht="66" hidden="0" customHeight="1">
      <x:c r="A112" s="23" t="str">
        <x:v>LQW15AN9N1G00D</x:v>
      </x:c>
      <x:c r="B112" s="23" t="str">
        <x:v>Murata</x:v>
      </x:c>
      <x:c r="C112" s="23" t="str">
        <x:v>Allowance</x:v>
      </x:c>
      <x:c r="D112" s="24" t="n">
        <x:v>12</x:v>
      </x:c>
      <x:c r="E112" s="24" t="n">
        <x:v>7</x:v>
      </x:c>
      <x:c r="F112" s="23" t="str">
        <x:v>Estimate</x:v>
      </x:c>
      <x:c r="G112" s="28" t="str"/>
      <x:c r="H112" s="28" t="str">
        <x:v>Low-volume distributor-category estimate</x:v>
      </x:c>
    </x:row>
    <x:row r="113" ht="66" hidden="0" customHeight="1">
      <x:c r="A113" s="23" t="str">
        <x:v>LQW18AN22NJ10D</x:v>
      </x:c>
      <x:c r="B113" s="23" t="str">
        <x:v>Murata</x:v>
      </x:c>
      <x:c r="C113" s="23" t="str">
        <x:v>Allowance</x:v>
      </x:c>
      <x:c r="D113" s="24" t="n">
        <x:v>14</x:v>
      </x:c>
      <x:c r="E113" s="24" t="n">
        <x:v>8</x:v>
      </x:c>
      <x:c r="F113" s="23" t="str">
        <x:v>Estimate</x:v>
      </x:c>
      <x:c r="G113" s="28" t="str"/>
      <x:c r="H113" s="28" t="str">
        <x:v>Low-volume distributor-category estimate</x:v>
      </x:c>
    </x:row>
    <x:row r="114" ht="105.5999984741211" hidden="0" customHeight="1">
      <x:c r="A114" s="23" t="str">
        <x:v>LSM6DSO32TR</x:v>
      </x:c>
      <x:c r="B114" s="23" t="str">
        <x:v>STMicroelectronics</x:v>
      </x:c>
      <x:c r="C114" s="23" t="str">
        <x:v>Qty 1 / 10</x:v>
      </x:c>
      <x:c r="D114" s="24" t="n">
        <x:v>386.7</x:v>
      </x:c>
      <x:c r="E114" s="24" t="n">
        <x:v>331.72</x:v>
      </x:c>
      <x:c r="F114" s="23" t="str">
        <x:v>Live/official</x:v>
      </x:c>
      <x:c r="G114" s="28" t="str">
        <x:v>https://www.mouser.in/ProductDetail/STMicroelectronics/LSM6DSO32TR</x:v>
      </x:c>
      <x:c r="H114" s="28" t="str">
        <x:v>Dissimilar redundant IMU.</x:v>
      </x:c>
    </x:row>
    <x:row r="115" ht="66" hidden="0" customHeight="1">
      <x:c r="A115" s="23" t="str">
        <x:v>M5_RING_LUG_PAIR</x:v>
      </x:c>
      <x:c r="B115" s="23" t="str">
        <x:v>Generic</x:v>
      </x:c>
      <x:c r="C115" s="23" t="str">
        <x:v>Allowance</x:v>
      </x:c>
      <x:c r="D115" s="24" t="n">
        <x:v>180</x:v>
      </x:c>
      <x:c r="E115" s="24" t="n">
        <x:v>130</x:v>
      </x:c>
      <x:c r="F115" s="23" t="str">
        <x:v>Estimate</x:v>
      </x:c>
      <x:c r="G115" s="28" t="str"/>
      <x:c r="H115" s="28" t="str">
        <x:v>Low-volume distributor-category estimate</x:v>
      </x:c>
    </x:row>
    <x:row r="116" ht="66" hidden="0" customHeight="1">
      <x:c r="A116" s="23" t="str">
        <x:v>M5_RING_LUG_TRIPLE</x:v>
      </x:c>
      <x:c r="B116" s="23" t="str">
        <x:v>Generic</x:v>
      </x:c>
      <x:c r="C116" s="23" t="str">
        <x:v>Allowance</x:v>
      </x:c>
      <x:c r="D116" s="24" t="n">
        <x:v>260</x:v>
      </x:c>
      <x:c r="E116" s="24" t="n">
        <x:v>190</x:v>
      </x:c>
      <x:c r="F116" s="23" t="str">
        <x:v>Estimate</x:v>
      </x:c>
      <x:c r="G116" s="28" t="str"/>
      <x:c r="H116" s="28" t="str">
        <x:v>Low-volume distributor-category estimate</x:v>
      </x:c>
    </x:row>
    <x:row r="117" ht="158.39999389648438" hidden="0" customHeight="1">
      <x:c r="A117" s="23" t="str">
        <x:v>MCP2518FD-H/QBB</x:v>
      </x:c>
      <x:c r="B117" s="23" t="str">
        <x:v>Microchip</x:v>
      </x:c>
      <x:c r="C117" s="23" t="str">
        <x:v>Qty 2 / 20</x:v>
      </x:c>
      <x:c r="D117" s="24" t="n">
        <x:v>191.95</x:v>
      </x:c>
      <x:c r="E117" s="24" t="n">
        <x:v>191.95</x:v>
      </x:c>
      <x:c r="F117" s="23" t="str">
        <x:v>Live/official</x:v>
      </x:c>
      <x:c r="G117" s="28" t="str">
        <x:v>https://www.mouser.in/ProductDetail/Microchip-Technology/MCP2518FDT-H-QBB</x:v>
      </x:c>
      <x:c r="H117" s="28" t="str">
        <x:v>Standalone CAN-FD controller; pricing uses the stocked temperature-qualified orderable variant as proxy.</x:v>
      </x:c>
    </x:row>
    <x:row r="118" ht="66" hidden="0" customHeight="1">
      <x:c r="A118" s="23" t="str">
        <x:v>NR4018T2R2M</x:v>
      </x:c>
      <x:c r="B118" s="23" t="str">
        <x:v>Taiyo Yuden</x:v>
      </x:c>
      <x:c r="C118" s="23" t="str">
        <x:v>Allowance</x:v>
      </x:c>
      <x:c r="D118" s="24" t="n">
        <x:v>55</x:v>
      </x:c>
      <x:c r="E118" s="24" t="n">
        <x:v>38</x:v>
      </x:c>
      <x:c r="F118" s="23" t="str">
        <x:v>Estimate</x:v>
      </x:c>
      <x:c r="G118" s="28" t="str"/>
      <x:c r="H118" s="28" t="str">
        <x:v>Low-volume distributor-category estimate</x:v>
      </x:c>
    </x:row>
    <x:row r="119" ht="66" hidden="0" customHeight="1">
      <x:c r="A119" s="23" t="str">
        <x:v>NT2016SA-32M-TEE3017A</x:v>
      </x:c>
      <x:c r="B119" s="23" t="str">
        <x:v>NDK</x:v>
      </x:c>
      <x:c r="C119" s="23" t="str">
        <x:v>Allowance</x:v>
      </x:c>
      <x:c r="D119" s="24" t="n">
        <x:v>125</x:v>
      </x:c>
      <x:c r="E119" s="24" t="n">
        <x:v>92</x:v>
      </x:c>
      <x:c r="F119" s="23" t="str">
        <x:v>Estimate</x:v>
      </x:c>
      <x:c r="G119" s="28" t="str"/>
      <x:c r="H119" s="28" t="str">
        <x:v>Low-volume distributor-category estimate</x:v>
      </x:c>
    </x:row>
    <x:row r="120" ht="66" hidden="0" customHeight="1">
      <x:c r="A120" s="23" t="str">
        <x:v>NTCG163JF103FT1</x:v>
      </x:c>
      <x:c r="B120" s="23" t="str">
        <x:v>TDK</x:v>
      </x:c>
      <x:c r="C120" s="23" t="str">
        <x:v>Allowance</x:v>
      </x:c>
      <x:c r="D120" s="24" t="n">
        <x:v>16</x:v>
      </x:c>
      <x:c r="E120" s="24" t="n">
        <x:v>9</x:v>
      </x:c>
      <x:c r="F120" s="23" t="str">
        <x:v>Estimate</x:v>
      </x:c>
      <x:c r="G120" s="28" t="str"/>
      <x:c r="H120" s="28" t="str">
        <x:v>Low-volume distributor-category estimate</x:v>
      </x:c>
    </x:row>
    <x:row r="121" ht="66" hidden="0" customHeight="1">
      <x:c r="A121" s="23" t="str">
        <x:v>PESD2CANFD24L-T</x:v>
      </x:c>
      <x:c r="B121" s="23" t="str">
        <x:v>Nexperia</x:v>
      </x:c>
      <x:c r="C121" s="23" t="str">
        <x:v>Allowance</x:v>
      </x:c>
      <x:c r="D121" s="24" t="n">
        <x:v>48</x:v>
      </x:c>
      <x:c r="E121" s="24" t="n">
        <x:v>32</x:v>
      </x:c>
      <x:c r="F121" s="23" t="str">
        <x:v>Estimate</x:v>
      </x:c>
      <x:c r="G121" s="28" t="str"/>
      <x:c r="H121" s="28" t="str">
        <x:v>Low-volume distributor-category estimate</x:v>
      </x:c>
    </x:row>
    <x:row r="122" ht="66" hidden="0" customHeight="1">
      <x:c r="A122" s="23" t="str">
        <x:v>PMEG2010ER</x:v>
      </x:c>
      <x:c r="B122" s="23" t="str">
        <x:v>Nexperia</x:v>
      </x:c>
      <x:c r="C122" s="23" t="str">
        <x:v>Allowance</x:v>
      </x:c>
      <x:c r="D122" s="24" t="n">
        <x:v>16</x:v>
      </x:c>
      <x:c r="E122" s="24" t="n">
        <x:v>9</x:v>
      </x:c>
      <x:c r="F122" s="23" t="str">
        <x:v>Estimate</x:v>
      </x:c>
      <x:c r="G122" s="28" t="str"/>
      <x:c r="H122" s="28" t="str">
        <x:v>Low-volume distributor-category estimate</x:v>
      </x:c>
    </x:row>
    <x:row r="123" ht="92.4000015258789" hidden="0" customHeight="1">
      <x:c r="A123" s="23" t="str">
        <x:v>RFM-0505S</x:v>
      </x:c>
      <x:c r="B123" s="23" t="str">
        <x:v>RECOM</x:v>
      </x:c>
      <x:c r="C123" s="23" t="str">
        <x:v>Qty 6 / 60</x:v>
      </x:c>
      <x:c r="D123" s="24" t="n">
        <x:v>173.31</x:v>
      </x:c>
      <x:c r="E123" s="24" t="n">
        <x:v>155.61</x:v>
      </x:c>
      <x:c r="F123" s="23" t="str">
        <x:v>Live/official</x:v>
      </x:c>
      <x:c r="G123" s="28" t="str">
        <x:v>https://www.mouser.in/ProductDetail/RECOM-Power/RFM-0505S</x:v>
      </x:c>
      <x:c r="H123" s="28" t="str">
        <x:v>1 W functional-isolation converter.</x:v>
      </x:c>
    </x:row>
    <x:row r="124" ht="158.39999389648438" hidden="0" customHeight="1">
      <x:c r="A124" s="23" t="str">
        <x:v>RP2354B</x:v>
      </x:c>
      <x:c r="B124" s="23" t="str">
        <x:v>Raspberry Pi</x:v>
      </x:c>
      <x:c r="C124" s="23" t="str">
        <x:v>Qty 2 / 20</x:v>
      </x:c>
      <x:c r="D124" s="24" t="n">
        <x:f>ROUND('Cost Assumptions'!$B$5*1.4,2)</x:f>
        <x:v>134.95</x:v>
      </x:c>
      <x:c r="E124" s="24" t="n">
        <x:f>ROUND('Cost Assumptions'!$B$5*1.4,2)</x:f>
        <x:v>134.95</x:v>
      </x:c>
      <x:c r="F124" s="23" t="str">
        <x:v>Live/official</x:v>
      </x:c>
      <x:c r="G124" s="28" t="str">
        <x:v>https://www.raspberrypi.com/news/rp2350-a4-rp2354-and-a-new-hacking-challenge/</x:v>
      </x:c>
      <x:c r="H124" s="28" t="str">
        <x:v>Official USD pricing converted at the workbook FX input; stacked 2 MB flash avoids an external flash IC.</x:v>
      </x:c>
    </x:row>
    <x:row r="125" ht="66" hidden="0" customHeight="1">
      <x:c r="A125" s="23" t="str">
        <x:v>SM04B-GHS-TB</x:v>
      </x:c>
      <x:c r="B125" s="23" t="str">
        <x:v>JST</x:v>
      </x:c>
      <x:c r="C125" s="23" t="str">
        <x:v>Allowance</x:v>
      </x:c>
      <x:c r="D125" s="24" t="n">
        <x:v>42</x:v>
      </x:c>
      <x:c r="E125" s="24" t="n">
        <x:v>28</x:v>
      </x:c>
      <x:c r="F125" s="23" t="str">
        <x:v>Estimate</x:v>
      </x:c>
      <x:c r="G125" s="28" t="str"/>
      <x:c r="H125" s="28" t="str">
        <x:v>Low-volume distributor-category estimate</x:v>
      </x:c>
    </x:row>
    <x:row r="126" ht="105.5999984741211" hidden="0" customHeight="1">
      <x:c r="A126" s="23" t="str">
        <x:v>SM8S51A</x:v>
      </x:c>
      <x:c r="B126" s="23" t="str">
        <x:v>Littelfuse</x:v>
      </x:c>
      <x:c r="C126" s="23" t="str">
        <x:v>Qty 7 / 70</x:v>
      </x:c>
      <x:c r="D126" s="24" t="n">
        <x:v>383.71</x:v>
      </x:c>
      <x:c r="E126" s="24" t="n">
        <x:v>251.59</x:v>
      </x:c>
      <x:c r="F126" s="23" t="str">
        <x:v>Live/official</x:v>
      </x:c>
      <x:c r="G126" s="28" t="str">
        <x:v>https://www.digikey.in/en/products/detail/littelfuse-inc/SM8S51A/24764379</x:v>
      </x:c>
      <x:c r="H126" s="28" t="str">
        <x:v>7 kW pulse TVS; not a sustained regeneration absorber.</x:v>
      </x:c>
    </x:row>
    <x:row r="127" ht="66" hidden="0" customHeight="1">
      <x:c r="A127" s="23" t="str">
        <x:v>SN74LVC1G08DBVR</x:v>
      </x:c>
      <x:c r="B127" s="23" t="str">
        <x:v>Texas Instruments</x:v>
      </x:c>
      <x:c r="C127" s="23" t="str">
        <x:v>Allowance</x:v>
      </x:c>
      <x:c r="D127" s="24" t="n">
        <x:v>28</x:v>
      </x:c>
      <x:c r="E127" s="24" t="n">
        <x:v>18</x:v>
      </x:c>
      <x:c r="F127" s="23" t="str">
        <x:v>Estimate</x:v>
      </x:c>
      <x:c r="G127" s="28" t="str"/>
      <x:c r="H127" s="28" t="str">
        <x:v>Low-volume distributor-category estimate</x:v>
      </x:c>
    </x:row>
    <x:row r="128" ht="105.5999984741211" hidden="0" customHeight="1">
      <x:c r="A128" s="23" t="str">
        <x:v>STM32G431CBT6</x:v>
      </x:c>
      <x:c r="B128" s="23" t="str">
        <x:v>STMicroelectronics</x:v>
      </x:c>
      <x:c r="C128" s="23" t="str">
        <x:v>Qty 6 / 60</x:v>
      </x:c>
      <x:c r="D128" s="24" t="n">
        <x:v>634.56</x:v>
      </x:c>
      <x:c r="E128" s="24" t="n">
        <x:v>438.88</x:v>
      </x:c>
      <x:c r="F128" s="23" t="str">
        <x:v>Live/official</x:v>
      </x:c>
      <x:c r="G128" s="28" t="str">
        <x:v>https://www.mouser.in/en/ProductDetail/STMicroelectronics/STM32G431CBT6</x:v>
      </x:c>
      <x:c r="H128" s="28" t="str">
        <x:v>Local FOC MCU with dual 4 MSPS ADCs and advanced timer.</x:v>
      </x:c>
    </x:row>
    <x:row r="129" ht="26.399999618530273" hidden="0" customHeight="1">
      <x:c r="A129" s="23" t="str">
        <x:v>SWD</x:v>
      </x:c>
      <x:c r="B129" s="23" t="str">
        <x:v>Commodity / unspecified</x:v>
      </x:c>
      <x:c r="C129" s="23" t="str">
        <x:v>Allowance</x:v>
      </x:c>
      <x:c r="D129" s="24" t="n">
        <x:v>80</x:v>
      </x:c>
      <x:c r="E129" s="24" t="n">
        <x:v>55</x:v>
      </x:c>
      <x:c r="F129" s="23" t="str">
        <x:v>Estimate</x:v>
      </x:c>
      <x:c r="G129" s="28" t="str"/>
      <x:c r="H129" s="28" t="str">
        <x:v>Connector allowance</x:v>
      </x:c>
    </x:row>
    <x:row r="130" ht="105.5999984741211" hidden="0" customHeight="1">
      <x:c r="A130" s="23" t="str">
        <x:v>TCAN3413DR</x:v>
      </x:c>
      <x:c r="B130" s="23" t="str">
        <x:v>Texas Instruments</x:v>
      </x:c>
      <x:c r="C130" s="23" t="str">
        <x:v>Qty 2 / 20</x:v>
      </x:c>
      <x:c r="D130" s="24" t="n">
        <x:v>174.25</x:v>
      </x:c>
      <x:c r="E130" s="24" t="n">
        <x:v>128.59</x:v>
      </x:c>
      <x:c r="F130" s="23" t="str">
        <x:v>Live/official</x:v>
      </x:c>
      <x:c r="G130" s="28" t="str">
        <x:v>https://www.mouser.in/ProductDetail/Texas-Instruments/TCAN3413DR</x:v>
      </x:c>
      <x:c r="H130" s="28" t="str">
        <x:v>3.3 V CAN-FD transceiver.</x:v>
      </x:c>
    </x:row>
    <x:row r="131" ht="66" hidden="0" customHeight="1">
      <x:c r="A131" s="23" t="str">
        <x:v>TLV62569DBVR</x:v>
      </x:c>
      <x:c r="B131" s="23" t="str">
        <x:v>Texas Instruments</x:v>
      </x:c>
      <x:c r="C131" s="23" t="str">
        <x:v>Allowance</x:v>
      </x:c>
      <x:c r="D131" s="24" t="n">
        <x:v>95</x:v>
      </x:c>
      <x:c r="E131" s="24" t="n">
        <x:v>65</x:v>
      </x:c>
      <x:c r="F131" s="23" t="str">
        <x:v>Estimate</x:v>
      </x:c>
      <x:c r="G131" s="28" t="str"/>
      <x:c r="H131" s="28" t="str">
        <x:v>Low-volume distributor-category estimate</x:v>
      </x:c>
    </x:row>
    <x:row r="132" ht="66" hidden="0" customHeight="1">
      <x:c r="A132" s="23" t="str">
        <x:v>TLV75528PDBVR</x:v>
      </x:c>
      <x:c r="B132" s="23" t="str">
        <x:v>Texas Instruments</x:v>
      </x:c>
      <x:c r="C132" s="23" t="str">
        <x:v>Allowance</x:v>
      </x:c>
      <x:c r="D132" s="24" t="n">
        <x:v>70</x:v>
      </x:c>
      <x:c r="E132" s="24" t="n">
        <x:v>48</x:v>
      </x:c>
      <x:c r="F132" s="23" t="str">
        <x:v>Estimate</x:v>
      </x:c>
      <x:c r="G132" s="28" t="str"/>
      <x:c r="H132" s="28" t="str">
        <x:v>Low-volume distributor-category estimate</x:v>
      </x:c>
    </x:row>
    <x:row r="133" ht="66" hidden="0" customHeight="1">
      <x:c r="A133" s="23" t="str">
        <x:v>TLV75533PDBVR</x:v>
      </x:c>
      <x:c r="B133" s="23" t="str">
        <x:v>Texas Instruments</x:v>
      </x:c>
      <x:c r="C133" s="23" t="str">
        <x:v>Allowance</x:v>
      </x:c>
      <x:c r="D133" s="24" t="n">
        <x:v>70</x:v>
      </x:c>
      <x:c r="E133" s="24" t="n">
        <x:v>48</x:v>
      </x:c>
      <x:c r="F133" s="23" t="str">
        <x:v>Estimate</x:v>
      </x:c>
      <x:c r="G133" s="28" t="str"/>
      <x:c r="H133" s="28" t="str">
        <x:v>Low-volume distributor-category estimate</x:v>
      </x:c>
    </x:row>
    <x:row r="134" ht="66" hidden="0" customHeight="1">
      <x:c r="A134" s="23" t="str">
        <x:v>TPD1E0B04DPYR</x:v>
      </x:c>
      <x:c r="B134" s="23" t="str">
        <x:v>Texas Instruments</x:v>
      </x:c>
      <x:c r="C134" s="23" t="str">
        <x:v>Allowance</x:v>
      </x:c>
      <x:c r="D134" s="24" t="n">
        <x:v>35</x:v>
      </x:c>
      <x:c r="E134" s="24" t="n">
        <x:v>24</x:v>
      </x:c>
      <x:c r="F134" s="23" t="str">
        <x:v>Estimate</x:v>
      </x:c>
      <x:c r="G134" s="28" t="str"/>
      <x:c r="H134" s="28" t="str">
        <x:v>Low-volume distributor-category estimate</x:v>
      </x:c>
    </x:row>
    <x:row r="135" ht="66" hidden="0" customHeight="1">
      <x:c r="A135" s="23" t="str">
        <x:v>TPS3430WDRCR</x:v>
      </x:c>
      <x:c r="B135" s="23" t="str">
        <x:v>Texas Instruments</x:v>
      </x:c>
      <x:c r="C135" s="23" t="str">
        <x:v>Allowance</x:v>
      </x:c>
      <x:c r="D135" s="24" t="n">
        <x:v>260</x:v>
      </x:c>
      <x:c r="E135" s="24" t="n">
        <x:v>190</x:v>
      </x:c>
      <x:c r="F135" s="23" t="str">
        <x:v>Estimate</x:v>
      </x:c>
      <x:c r="G135" s="28" t="str"/>
      <x:c r="H135" s="28" t="str">
        <x:v>Low-volume distributor-category estimate</x:v>
      </x:c>
    </x:row>
    <x:row r="136" ht="105.5999984741211" hidden="0" customHeight="1">
      <x:c r="A136" s="23" t="str">
        <x:v>TPS70933DBVR</x:v>
      </x:c>
      <x:c r="B136" s="23" t="str">
        <x:v>Texas Instruments</x:v>
      </x:c>
      <x:c r="C136" s="23" t="str">
        <x:v>Qty 6 / 60</x:v>
      </x:c>
      <x:c r="D136" s="24" t="n">
        <x:v>140.7</x:v>
      </x:c>
      <x:c r="E136" s="24" t="n">
        <x:v>93.18</x:v>
      </x:c>
      <x:c r="F136" s="23" t="str">
        <x:v>Live/official</x:v>
      </x:c>
      <x:c r="G136" s="28" t="str">
        <x:v>https://www.mouser.in/ProductDetail/Texas-Instruments/TPS70933DBVR</x:v>
      </x:c>
      <x:c r="H136" s="28" t="str">
        <x:v>30 V-input post-isolation LDO.</x:v>
      </x:c>
    </x:row>
    <x:row r="137" ht="66" hidden="0" customHeight="1">
      <x:c r="A137" s="23" t="str">
        <x:v>U.FL-R-SMT-1(10)</x:v>
      </x:c>
      <x:c r="B137" s="23" t="str">
        <x:v>Hirose</x:v>
      </x:c>
      <x:c r="C137" s="23" t="str">
        <x:v>Allowance</x:v>
      </x:c>
      <x:c r="D137" s="24" t="n">
        <x:v>145</x:v>
      </x:c>
      <x:c r="E137" s="24" t="n">
        <x:v>105</x:v>
      </x:c>
      <x:c r="F137" s="23" t="str">
        <x:v>Estimate</x:v>
      </x:c>
      <x:c r="G137" s="28" t="str"/>
      <x:c r="H137" s="28" t="str">
        <x:v>Low-volume distributor-category estimate</x:v>
      </x:c>
    </x:row>
    <x:row r="138" ht="66" hidden="0" customHeight="1">
      <x:c r="A138" s="23" t="str">
        <x:v>USB4105-GF-A</x:v>
      </x:c>
      <x:c r="B138" s="23" t="str">
        <x:v>GCT</x:v>
      </x:c>
      <x:c r="C138" s="23" t="str">
        <x:v>Allowance</x:v>
      </x:c>
      <x:c r="D138" s="24" t="n">
        <x:v>95</x:v>
      </x:c>
      <x:c r="E138" s="24" t="n">
        <x:v>65</x:v>
      </x:c>
      <x:c r="F138" s="23" t="str">
        <x:v>Estimate</x:v>
      </x:c>
      <x:c r="G138" s="28" t="str"/>
      <x:c r="H138" s="28" t="str">
        <x:v>Low-volume distributor-category estimate</x:v>
      </x:c>
    </x:row>
    <x:row r="139" ht="66" hidden="0" customHeight="1">
      <x:c r="A139" s="23" t="str">
        <x:v>USBLC6-2SC6</x:v>
      </x:c>
      <x:c r="B139" s="23" t="str">
        <x:v>STMicroelectronics</x:v>
      </x:c>
      <x:c r="C139" s="23" t="str">
        <x:v>Allowance</x:v>
      </x:c>
      <x:c r="D139" s="24" t="n">
        <x:v>45</x:v>
      </x:c>
      <x:c r="E139" s="24" t="n">
        <x:v>28</x:v>
      </x:c>
      <x:c r="F139" s="23" t="str">
        <x:v>Estimate</x:v>
      </x:c>
      <x:c r="G139" s="28" t="str"/>
      <x:c r="H139" s="28" t="str">
        <x:v>Low-volume distributor-category estimate</x:v>
      </x:c>
    </x:row>
  </x:sheetData>
  <x:mergeCells>
    <x:mergeCell ref="A1:H1"/>
    <x:mergeCell ref="A2:H2"/>
  </x:mergeCells>
  <x:conditionalFormatting sqref="F5:F139">
    <x:cfRule type="containsText" dxfId="0" priority="1" operator="containsText" text="Live"/>
    <x:cfRule type="containsText" dxfId="1" priority="2" operator="containsText" text="Estimate"/>
  </x:conditionalFormatting>
  <x:pageMargins left="0.7" right="0.7" top="0.75" bottom="0.75" header="0.3" footer="0.3"/>
  <x:tableParts count="1">
    <x:tablePart xmlns:r="http://schemas.openxmlformats.org/officeDocument/2006/relationships" r:id="R14cb59aebfb6401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1" hidden="0" customWidth="1"/>
    <x:col min="3" max="3" width="14" hidden="0" customWidth="1"/>
    <x:col min="4" max="4" width="14" hidden="0" customWidth="1"/>
    <x:col min="5" max="5" width="14" hidden="0" customWidth="1"/>
    <x:col min="6" max="6" width="54" hidden="0" customWidth="1"/>
    <x:col min="7" max="7" width="48" hidden="0" customWidth="1"/>
  </x:cols>
  <x:sheetData>
    <x:row r="1" ht="19.200000762939453" hidden="0" customHeight="1">
      <x:c r="A1" s="4" t="str">
        <x:v>Rev-B acquisition and fabrication assumptions</x:v>
      </x:c>
      <x:c r="B1" s="4"/>
      <x:c r="C1" s="4"/>
      <x:c r="D1" s="4"/>
      <x:c r="E1" s="4"/>
      <x:c r="F1" s="4"/>
      <x:c r="G1" s="4"/>
    </x:row>
    <x:row r="2"/>
    <x:row r="3" ht="15" hidden="0" customHeight="1">
      <x:c r="A3" s="16" t="str">
        <x:v>Input</x:v>
      </x:c>
      <x:c r="B3" s="16" t="str">
        <x:v>Value</x:v>
      </x:c>
      <x:c r="D3" s="18" t="str">
        <x:v>Input</x:v>
      </x:c>
      <x:c r="E3" s="18" t="str">
        <x:v>Value</x:v>
      </x:c>
    </x:row>
    <x:row r="4" ht="15" hidden="0" customHeight="1">
      <x:c r="A4" t="str">
        <x:v>Pricing date</x:v>
      </x:c>
      <x:c r="B4" s="32" t="n">
        <x:v>46221</x:v>
      </x:c>
      <x:c r="D4" s="30" t="str">
        <x:v>BOM high factor</x:v>
      </x:c>
      <x:c r="E4" s="38" t="n">
        <x:v>1.2</x:v>
      </x:c>
    </x:row>
    <x:row r="5" ht="15" hidden="0" customHeight="1">
      <x:c r="A5" t="str">
        <x:v>USD/INR</x:v>
      </x:c>
      <x:c r="B5" s="34" t="n">
        <x:v>96.39127</x:v>
      </x:c>
    </x:row>
    <x:row r="6" ht="15" hidden="0" customHeight="1">
      <x:c r="A6" t="str">
        <x:v>GST</x:v>
      </x:c>
      <x:c r="B6" s="36" t="n">
        <x:v>0.18</x:v>
      </x:c>
    </x:row>
    <x:row r="7" ht="15" hidden="0" customHeight="1">
      <x:c r="A7" t="str">
        <x:v>Contingency</x:v>
      </x:c>
      <x:c r="B7" s="36" t="n">
        <x:v>0.1</x:v>
      </x:c>
    </x:row>
    <x:row r="8" ht="15" hidden="0" customHeight="1">
      <x:c r="A8" t="str">
        <x:v>Prototype component low factor</x:v>
      </x:c>
      <x:c r="B8" s="36" t="n">
        <x:v>0.95</x:v>
      </x:c>
    </x:row>
    <x:row r="9"/>
    <x:row r="10" ht="15" hidden="0" customHeight="1">
      <x:c r="A10" s="22" t="str">
        <x:v>Scope</x:v>
      </x:c>
      <x:c r="B10" s="22" t="str">
        <x:v>Category</x:v>
      </x:c>
      <x:c r="C10" s="22" t="str">
        <x:v>Low INR</x:v>
      </x:c>
      <x:c r="D10" s="22" t="str">
        <x:v>Nominal INR</x:v>
      </x:c>
      <x:c r="E10" s="22" t="str">
        <x:v>High INR</x:v>
      </x:c>
      <x:c r="F10" s="22" t="str">
        <x:v>Basis</x:v>
      </x:c>
      <x:c r="G10" s="22" t="str">
        <x:v>Source / action</x:v>
      </x:c>
    </x:row>
    <x:row r="11" ht="15" hidden="0" customHeight="1">
      <x:c r="A11" s="28" t="str">
        <x:v>ESC</x:v>
      </x:c>
      <x:c r="B11" s="28" t="str">
        <x:v>Custom bare PCB</x:v>
      </x:c>
      <x:c r="C11" s="44" t="n">
        <x:v>12000</x:v>
      </x:c>
      <x:c r="D11" s="44" t="n">
        <x:v>18000</x:v>
      </x:c>
      <x:c r="E11" s="44" t="n">
        <x:v>30000</x:v>
      </x:c>
      <x:c r="F11" s="28" t="str">
        <x:v>474 x 246 mm, 4-layer ENIG, 4 oz outer / 1.5 oz inner</x:v>
      </x:c>
      <x:c r="G11" s="28" t="str">
        <x:v>Obtain formal mixed-copper fabricator quote</x:v>
      </x:c>
    </x:row>
    <x:row r="12" ht="15" hidden="0" customHeight="1">
      <x:c r="A12" s="28" t="str">
        <x:v>ESC</x:v>
      </x:c>
      <x:c r="B12" s="28" t="str">
        <x:v>Low-volume assembly</x:v>
      </x:c>
      <x:c r="C12" s="44" t="n">
        <x:v>8000</x:v>
      </x:c>
      <x:c r="D12" s="44" t="n">
        <x:v>12000</x:v>
      </x:c>
      <x:c r="E12" s="44" t="n">
        <x:v>20000</x:v>
      </x:c>
      <x:c r="F12" s="28" t="str">
        <x:v>654 placements; QFN/LQFP/TOLT/large thermal mass</x:v>
      </x:c>
      <x:c r="G12" s="28" t="str">
        <x:v>Contract manufacturer quote required</x:v>
      </x:c>
    </x:row>
    <x:row r="13" ht="26.399999618530273" hidden="0" customHeight="1">
      <x:c r="A13" s="28" t="str">
        <x:v>ESC</x:v>
      </x:c>
      <x:c r="B13" s="28" t="str">
        <x:v>Heat spreader, busbars, six fuses and high-current hardware</x:v>
      </x:c>
      <x:c r="C13" s="44" t="n">
        <x:v>6000</x:v>
      </x:c>
      <x:c r="D13" s="44" t="n">
        <x:v>10000</x:v>
      </x:c>
      <x:c r="E13" s="44" t="n">
        <x:v>18000</x:v>
      </x:c>
      <x:c r="F13" s="28" t="str">
        <x:v>Electrically isolated heat spreader plus six independent fused feeds</x:v>
      </x:c>
      <x:c r="G13" s="28" t="str">
        <x:v>Mechanical design and supplier quote required</x:v>
      </x:c>
    </x:row>
    <x:row r="14" ht="15" hidden="0" customHeight="1">
      <x:c r="A14" s="28" t="str">
        <x:v>Control</x:v>
      </x:c>
      <x:c r="B14" s="28" t="str">
        <x:v>Bare PCB</x:v>
      </x:c>
      <x:c r="C14" s="44" t="n">
        <x:v>1500</x:v>
      </x:c>
      <x:c r="D14" s="44" t="n">
        <x:v>2500</x:v>
      </x:c>
      <x:c r="E14" s="44" t="n">
        <x:v>4000</x:v>
      </x:c>
      <x:c r="F14" s="28" t="str">
        <x:v>140 x 100 mm, 4-layer ENIG, 1 oz baseline</x:v>
      </x:c>
      <x:c r="G14" s="28" t="str">
        <x:v>Prototype PCB estimate</x:v>
      </x:c>
    </x:row>
    <x:row r="15" ht="15" hidden="0" customHeight="1">
      <x:c r="A15" s="28" t="str">
        <x:v>Control</x:v>
      </x:c>
      <x:c r="B15" s="28" t="str">
        <x:v>Low-volume assembly</x:v>
      </x:c>
      <x:c r="C15" s="44" t="n">
        <x:v>2500</x:v>
      </x:c>
      <x:c r="D15" s="44" t="n">
        <x:v>4000</x:v>
      </x:c>
      <x:c r="E15" s="44" t="n">
        <x:v>7000</x:v>
      </x:c>
      <x:c r="F15" s="28" t="str">
        <x:v>165 placements including QFN/LGA/RF</x:v>
      </x:c>
      <x:c r="G15" s="28" t="str">
        <x:v>Contract manufacturer quote required</x:v>
      </x:c>
    </x:row>
    <x:row r="16" ht="15" hidden="0" customHeight="1">
      <x:c r="A16" s="28" t="str">
        <x:v>System</x:v>
      </x:c>
      <x:c r="B16" s="28" t="str">
        <x:v>Harnesses and antennas</x:v>
      </x:c>
      <x:c r="C16" s="44" t="n">
        <x:v>1000</x:v>
      </x:c>
      <x:c r="D16" s="44" t="n">
        <x:v>1800</x:v>
      </x:c>
      <x:c r="E16" s="44" t="n">
        <x:v>3000</x:v>
      </x:c>
      <x:c r="F16" s="28" t="str">
        <x:v>CAN/power harness plus GNSS and 915 MHz antennas</x:v>
      </x:c>
      <x:c r="G16" s="28" t="str">
        <x:v>Excludes motors and battery</x:v>
      </x:c>
    </x:row>
    <x:row r="17" ht="26.399999618530273" hidden="0" customHeight="1">
      <x:c r="A17" s="28" t="str">
        <x:v>System</x:v>
      </x:c>
      <x:c r="B17" s="28" t="str">
        <x:v>Freight, small-order fees and procurement</x:v>
      </x:c>
      <x:c r="C17" s="44" t="n">
        <x:v>2500</x:v>
      </x:c>
      <x:c r="D17" s="44" t="n">
        <x:v>3500</x:v>
      </x:c>
      <x:c r="E17" s="44" t="n">
        <x:v>6000</x:v>
      </x:c>
      <x:c r="F17" s="28" t="str">
        <x:v>One prototype set</x:v>
      </x:c>
      <x:c r="G17" s="28" t="str">
        <x:v>Taxes handled separately below</x:v>
      </x:c>
    </x:row>
    <x:row r="18"/>
    <x:row r="19" ht="15" hidden="0" customHeight="1">
      <x:c r="A19" s="50" t="str">
        <x:v>Important exclusions / release gates</x:v>
      </x:c>
      <x:c r="B19" s="30"/>
      <x:c r="C19" s="30"/>
      <x:c r="D19" s="30"/>
      <x:c r="E19" s="30"/>
      <x:c r="F19" s="30"/>
      <x:c r="G19" s="30"/>
    </x:row>
    <x:row r="20" ht="15" hidden="0" customHeight="1">
      <x:c r="A20" s="30" t="str">
        <x:v>Vendor quotes</x:v>
      </x:c>
      <x:c r="B20" s="30" t="str">
        <x:v>The heavy-copper ESC cannot be treated as a catalogue PCB price; replace the assumptions above with written quotes before purchase.</x:v>
      </x:c>
      <x:c r="C20" s="30"/>
      <x:c r="D20" s="30"/>
      <x:c r="E20" s="30"/>
      <x:c r="F20" s="30"/>
      <x:c r="G20" s="30"/>
    </x:row>
    <x:row r="21" ht="15" hidden="0" customHeight="1">
      <x:c r="A21" s="30" t="str">
        <x:v>Qualification</x:v>
      </x:c>
      <x:c r="B21" s="30" t="str">
        <x:v>Cost excludes destructive test articles, dyno time, EMI/VNA laboratory fees, regulatory certification, battery and motors.</x:v>
      </x:c>
      <x:c r="C21" s="30"/>
      <x:c r="D21" s="30"/>
      <x:c r="E21" s="30"/>
      <x:c r="F21" s="30"/>
      <x:c r="G21" s="30"/>
    </x:row>
    <x:row r="22" ht="15" hidden="0" customHeight="1">
      <x:c r="A22" s="30" t="str">
        <x:v>GST</x:v>
      </x:c>
      <x:c r="B22" s="30" t="str">
        <x:v>GST is shown in the summary but actual tax treatment depends on invoice type and input-credit eligibility.</x:v>
      </x:c>
      <x:c r="C22" s="30"/>
      <x:c r="D22" s="30"/>
      <x:c r="E22" s="30"/>
      <x:c r="F22" s="30"/>
      <x:c r="G22" s="30"/>
    </x:row>
  </x:sheetData>
  <x:mergeCells>
    <x:mergeCell ref="A1:G1"/>
    <x:mergeCell ref="A19:G19"/>
    <x:mergeCell ref="B20:G20"/>
    <x:mergeCell ref="B21:G21"/>
    <x:mergeCell ref="B22:G2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38" hidden="0" customWidth="1"/>
    <x:col min="3" max="3" width="29" hidden="0" customWidth="1"/>
    <x:col min="4" max="4" width="53" hidden="0" customWidth="1"/>
    <x:col min="5" max="5" width="18" hidden="0" customWidth="1"/>
    <x:col min="6" max="6" width="33" hidden="0" customWidth="1"/>
  </x:cols>
  <x:sheetData>
    <x:row r="1" ht="19.200000762939453" hidden="0" customHeight="1">
      <x:c r="A1" s="158" t="str">
        <x:v>Cost optimization and no-substitution decisions</x:v>
      </x:c>
      <x:c r="B1" s="158"/>
      <x:c r="C1" s="158"/>
      <x:c r="D1" s="158"/>
      <x:c r="E1" s="158"/>
      <x:c r="F1" s="158"/>
    </x:row>
    <x:row r="2" ht="15" hidden="0" customHeight="1">
      <x:c r="A2" s="30"/>
      <x:c r="B2" s="30"/>
      <x:c r="C2" s="30"/>
      <x:c r="D2" s="30"/>
      <x:c r="E2" s="30"/>
      <x:c r="F2" s="30"/>
    </x:row>
    <x:row r="3" ht="15" hidden="0" customHeight="1">
      <x:c r="A3" s="22" t="str">
        <x:v>Item</x:v>
      </x:c>
      <x:c r="B3" s="22" t="str">
        <x:v>Decision</x:v>
      </x:c>
      <x:c r="C3" s="22" t="str">
        <x:v>Cost effect</x:v>
      </x:c>
      <x:c r="D3" s="22" t="str">
        <x:v>Electrical reason</x:v>
      </x:c>
      <x:c r="E3" s="22" t="str">
        <x:v>Status</x:v>
      </x:c>
      <x:c r="F3" s="22" t="str">
        <x:v>Next action</x:v>
      </x:c>
    </x:row>
    <x:row r="4" ht="26.399999618530273" hidden="0" customHeight="1">
      <x:c r="A4" s="28" t="str">
        <x:v>IPTC015N10NM5</x:v>
      </x:c>
      <x:c r="B4" s="28" t="str">
        <x:v>Replaced by active IPTC014N10NM5, same TOLT pinout</x:v>
      </x:c>
      <x:c r="C4" s="28" t="str">
        <x:v>Avoids obsolete stock and redesign</x:v>
      </x:c>
      <x:c r="D4" s="28" t="str">
        <x:v>100 V, lower maximum RDS(on); still requires thermal/double-pulse qualification</x:v>
      </x:c>
      <x:c r="E4" s="28" t="str">
        <x:v>Implemented</x:v>
      </x:c>
      <x:c r="F4" s="28" t="str">
        <x:v>Secure production allocation</x:v>
      </x:c>
    </x:row>
    <x:row r="5" ht="26.399999618530273" hidden="0" customHeight="1">
      <x:c r="A5" s="28" t="str">
        <x:v>RP2354B</x:v>
      </x:c>
      <x:c r="B5" s="28" t="str">
        <x:v>Use stacked-flash variant</x:v>
      </x:c>
      <x:c r="C5" s="28" t="str">
        <x:v>Removes external QSPI flash and its passives/placement</x:v>
      </x:c>
      <x:c r="D5" s="28" t="str">
        <x:v>Officially pin-compatible with RP2350B; 2 MB in-package flash</x:v>
      </x:c>
      <x:c r="E5" s="28" t="str">
        <x:v>Implemented</x:v>
      </x:c>
      <x:c r="F5" s="28" t="str">
        <x:v>Use A4 stepping and current SDK</x:v>
      </x:c>
    </x:row>
    <x:row r="6" ht="26.399999618530273" hidden="0" customHeight="1">
      <x:c r="A6" s="28" t="str">
        <x:v>Gate booster / pre-amplifier</x:v>
      </x:c>
      <x:c r="B6" s="28" t="str">
        <x:v>Do not populate</x:v>
      </x:c>
      <x:c r="C6" s="28" t="str">
        <x:v>Avoids 72 buffers/extra isolated rails across six bridges</x:v>
      </x:c>
      <x:c r="D6" s="28" t="str">
        <x:v>DRV8353S has programmable source/sink drive; a booster is justified only by measured double-pulse failure</x:v>
      </x:c>
      <x:c r="E6" s="28" t="str">
        <x:v>Not required</x:v>
      </x:c>
      <x:c r="F6" s="28" t="str">
        <x:v>Revisit only from scope data</x:v>
      </x:c>
    </x:row>
    <x:row r="7" ht="26.399999618530273" hidden="0" customHeight="1">
      <x:c r="A7" s="28" t="str">
        <x:v>RFM-0505S</x:v>
      </x:c>
      <x:c r="B7" s="28" t="str">
        <x:v>Keep lower-cost SIP-4 RFM rather than higher-cost RFMM</x:v>
      </x:c>
      <x:c r="C7" s="28" t="str">
        <x:v>About INR 20-30 saved per channel</x:v>
      </x:c>
      <x:c r="D7" s="28" t="str">
        <x:v>Required power is functional isolation, not 4 kV reinforced isolation</x:v>
      </x:c>
      <x:c r="E7" s="28" t="str">
        <x:v>Implemented</x:v>
      </x:c>
      <x:c r="F7" s="28" t="str">
        <x:v>Verify conducted EMI</x:v>
      </x:c>
    </x:row>
    <x:row r="8" ht="26.399999618530273" hidden="0" customHeight="1">
      <x:c r="A8" s="28" t="str">
        <x:v>Commodity passives</x:v>
      </x:c>
      <x:c r="B8" s="28" t="str">
        <x:v>Use AVL-qualified commodity 0402/0603 parts where voltage/tolerance permits</x:v>
      </x:c>
      <x:c r="C8" s="28" t="str">
        <x:v>Meaningful at 10+ sets</x:v>
      </x:c>
      <x:c r="D8" s="28" t="str">
        <x:v>No relaxation on C0G filters, 100 V MLCCs, Kelvin shunts or RF matching</x:v>
      </x:c>
      <x:c r="E8" s="28" t="str">
        <x:v>Implemented in costing</x:v>
      </x:c>
      <x:c r="F8" s="28" t="str">
        <x:v>Create two-source AVL</x:v>
      </x:c>
    </x:row>
    <x:row r="9" ht="26.399999618530273" hidden="0" customHeight="1">
      <x:c r="A9" s="28" t="str">
        <x:v>TPS709 / isolation post-LDO</x:v>
      </x:c>
      <x:c r="B9" s="28" t="str">
        <x:v>Keep TPS70933 and EN divider</x:v>
      </x:c>
      <x:c r="C9" s="28" t="str">
        <x:v>No cheap pin-compatible swap accepted</x:v>
      </x:c>
      <x:c r="D9" s="28" t="str">
        <x:v>Alternative TPS709A/B pin mappings differ; raw isolated rail can exceed EN rating</x:v>
      </x:c>
      <x:c r="E9" s="28" t="str">
        <x:v>Keep</x:v>
      </x:c>
      <x:c r="F9" s="28" t="str">
        <x:v>Do not substitute by value only</x:v>
      </x:c>
    </x:row>
    <x:row r="10" ht="26.399999618530273" hidden="0" customHeight="1">
      <x:c r="A10" s="28" t="str">
        <x:v>10 uF / 100 V MLCC bank</x:v>
      </x:c>
      <x:c r="B10" s="28" t="str">
        <x:v>Retain present count</x:v>
      </x:c>
      <x:c r="C10" s="28" t="str">
        <x:v>Large BOM contributor</x:v>
      </x:c>
      <x:c r="D10" s="28" t="str">
        <x:v>Removing parts is not trivial: effective capacitance and commutation-loop impedance must be measured</x:v>
      </x:c>
      <x:c r="E10" s="28" t="str">
        <x:v>Keep for prototype</x:v>
      </x:c>
      <x:c r="F10" s="28" t="str">
        <x:v>Optimize only after impedance/double-pulse data</x:v>
      </x:c>
    </x:row>
    <x:row r="11" ht="26.399999618530273" hidden="0" customHeight="1">
      <x:c r="A11" s="28" t="str">
        <x:v>Current monitoring</x:v>
      </x:c>
      <x:c r="B11" s="28" t="str">
        <x:v>Keep all 24 Kelvin shunts and six INA296 channels</x:v>
      </x:c>
      <x:c r="C11" s="28" t="str">
        <x:v>No cost reduction</x:v>
      </x:c>
      <x:c r="D11" s="28" t="str">
        <x:v>User requirement: high-speed per-leg and per-motor current acquisition</x:v>
      </x:c>
      <x:c r="E11" s="28" t="str">
        <x:v>Mandatory</x:v>
      </x:c>
      <x:c r="F11" s="28" t="str">
        <x:v>Calibrate gain/offset/timing</x:v>
      </x:c>
    </x:row>
  </x:sheetData>
  <x:mergeCells>
    <x:mergeCell ref="A1:F1"/>
  </x:mergeCells>
  <x:conditionalFormatting sqref="E4:E11">
    <x:cfRule type="containsText" dxfId="4" priority="1" operator="containsText" text="Implemented"/>
    <x:cfRule type="containsText" dxfId="5" priority="2" operator="containsText" text="Keep"/>
  </x:conditionalFormatting>
  <x:pageMargins left="0.7" right="0.7" top="0.75" bottom="0.75" header="0.3" footer="0.3"/>
  <x:tableParts count="1">
    <x:tablePart xmlns:r="http://schemas.openxmlformats.org/officeDocument/2006/relationships" r:id="Rc9167005155f4e99"/>
  </x:tableParts>
</x:worksheet>
</file>